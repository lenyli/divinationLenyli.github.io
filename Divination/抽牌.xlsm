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5.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6.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7.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docs.live.net/03856d1931d41731/Documents/"/>
    </mc:Choice>
  </mc:AlternateContent>
  <xr:revisionPtr revIDLastSave="1861939" documentId="13_ncr:1_{4060A5B2-3988-4B94-8E61-FB5C04E33600}" xr6:coauthVersionLast="47" xr6:coauthVersionMax="47" xr10:uidLastSave="{456F776E-22DC-4A7B-9FFC-FA2E95AC2F97}"/>
  <bookViews>
    <workbookView xWindow="-110" yWindow="-110" windowWidth="22620" windowHeight="13500" xr2:uid="{23CDB2E9-84DF-4016-8409-2B4B6EFC612F}"/>
  </bookViews>
  <sheets>
    <sheet name="塔罗" sheetId="1" r:id="rId1"/>
    <sheet name="六爻" sheetId="4" r:id="rId2"/>
    <sheet name="占星骰子" sheetId="5" r:id="rId3"/>
    <sheet name="雷诺曼" sheetId="6" r:id="rId4"/>
    <sheet name="卢恩符文" sheetId="7" r:id="rId5"/>
    <sheet name="玄天上帝感应签" sheetId="10" r:id="rId6"/>
    <sheet name="寻人寻物" sheetId="9" r:id="rId7"/>
  </sheets>
  <definedNames>
    <definedName name="_xleta.CHAR" hidden="1" xlm="1">#NAME?</definedName>
    <definedName name="_xleta.IF" hidden="1" xlm="1">#NAME?</definedName>
    <definedName name="_xleta.MOD" hidden="1" xlm="1">#NAME?</definedName>
    <definedName name="_xleta.N" hidden="1" xlm="1">#NAME?</definedName>
    <definedName name="_xleta.NOW" hidden="1" xlm="1">#NAME?</definedName>
    <definedName name="_xleta.OR" hidden="1" xlm="1">#NAME?</definedName>
    <definedName name="_xleta.T" hidden="1" xlm="1">#NAME?</definedName>
    <definedName name="_xleta.TEXT"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99" i="1" l="1"/>
  <c r="K11" i="1" s="1"/>
  <c r="M10" i="5"/>
  <c r="M9" i="5"/>
  <c r="M8" i="5"/>
  <c r="A43" i="7"/>
  <c r="F15" i="7" s="1"/>
  <c r="A39" i="5" a="1"/>
  <c r="A39" i="5" s="1"/>
  <c r="I13" i="5" s="1"/>
  <c r="A48" i="6"/>
  <c r="F15" i="6" s="1"/>
  <c r="S5" i="10"/>
  <c r="Y4" i="10"/>
  <c r="W4" i="10"/>
  <c r="U4" i="10"/>
  <c r="S4" i="10"/>
  <c r="Y3" i="10"/>
  <c r="W3" i="10"/>
  <c r="U3" i="10"/>
  <c r="S3" i="10"/>
  <c r="Q2" i="10"/>
  <c r="C3" i="10"/>
  <c r="C4" i="10"/>
  <c r="C5" i="10"/>
  <c r="C6" i="10"/>
  <c r="C8" i="10"/>
  <c r="C12" i="10"/>
  <c r="C14" i="10"/>
  <c r="C15" i="10"/>
  <c r="C17" i="10"/>
  <c r="C20" i="10"/>
  <c r="C21" i="10"/>
  <c r="C22" i="10"/>
  <c r="C25" i="10"/>
  <c r="C26" i="10"/>
  <c r="C27" i="10"/>
  <c r="C28" i="10"/>
  <c r="C29" i="10"/>
  <c r="C30" i="10"/>
  <c r="C32" i="10"/>
  <c r="C33" i="10"/>
  <c r="C35" i="10"/>
  <c r="C37" i="10"/>
  <c r="C39" i="10"/>
  <c r="C40" i="10"/>
  <c r="C41" i="10"/>
  <c r="C42" i="10"/>
  <c r="C43" i="10"/>
  <c r="C44" i="10"/>
  <c r="C45" i="10"/>
  <c r="C46" i="10"/>
  <c r="C47" i="10"/>
  <c r="C48" i="10"/>
  <c r="C49" i="10"/>
  <c r="C50" i="10"/>
  <c r="C2" i="10"/>
  <c r="J7" i="9"/>
  <c r="I7" i="9"/>
  <c r="H7" i="9"/>
  <c r="J6" i="9"/>
  <c r="I6" i="9"/>
  <c r="H6" i="9"/>
  <c r="J5" i="9"/>
  <c r="I5" i="9"/>
  <c r="H5" i="9"/>
  <c r="J4" i="9"/>
  <c r="I4" i="9"/>
  <c r="H4" i="9"/>
  <c r="J3" i="9"/>
  <c r="I3" i="9"/>
  <c r="H3" i="9"/>
  <c r="J2" i="9"/>
  <c r="I2" i="9"/>
  <c r="H2" i="9"/>
  <c r="K6" i="1" a="1"/>
  <c r="K6" i="1" s="1"/>
  <c r="M6" i="1" s="1" a="1"/>
  <c r="F2" i="6"/>
  <c r="F3" i="6"/>
  <c r="F4" i="6"/>
  <c r="F4" i="7"/>
  <c r="F3" i="7"/>
  <c r="F2" i="7"/>
  <c r="L3" i="1"/>
  <c r="L2" i="1"/>
  <c r="K2" i="1"/>
  <c r="F6" i="5"/>
  <c r="F5" i="5"/>
  <c r="F4" i="5"/>
  <c r="J6" i="4"/>
  <c r="J7" i="4"/>
  <c r="J5" i="4"/>
  <c r="J4" i="4"/>
  <c r="J3" i="4"/>
  <c r="J2" i="4"/>
  <c r="I7" i="4"/>
  <c r="I6" i="4"/>
  <c r="I5" i="4"/>
  <c r="H7" i="4"/>
  <c r="H6" i="4"/>
  <c r="H5" i="4"/>
  <c r="H4" i="4"/>
  <c r="H3" i="4"/>
  <c r="H2" i="4"/>
  <c r="I4" i="4"/>
  <c r="I3" i="4"/>
  <c r="I2" i="4"/>
  <c r="P20" i="9"/>
  <c r="P19" i="9"/>
  <c r="P18" i="9"/>
  <c r="Q19" i="9" l="1"/>
  <c r="Q20" i="9"/>
  <c r="P19" i="4" a="1"/>
  <c r="P19" i="4" s="1"/>
  <c r="P21" i="9"/>
  <c r="M5" i="9"/>
  <c r="P11" i="9" a="1"/>
  <c r="P11" i="9" s="1"/>
  <c r="M6" i="9"/>
  <c r="M2" i="9"/>
  <c r="M3" i="9"/>
  <c r="M6" i="1"/>
  <c r="M8" i="4"/>
  <c r="N8" i="4" s="1"/>
  <c r="L6" i="1" a="1"/>
  <c r="M3" i="4"/>
  <c r="O3" i="4" s="1"/>
  <c r="M14" i="4"/>
  <c r="O14" i="4" s="1"/>
  <c r="M11" i="4"/>
  <c r="O11" i="4" s="1"/>
  <c r="M5" i="4"/>
  <c r="O5" i="4" s="1"/>
  <c r="M9" i="4"/>
  <c r="O9" i="4" s="1"/>
  <c r="M12" i="4"/>
  <c r="O12" i="4" s="1"/>
  <c r="M2" i="4"/>
  <c r="N2" i="4" s="1"/>
  <c r="M6" i="4"/>
  <c r="N6" i="4" s="1"/>
  <c r="M15" i="4"/>
  <c r="O15" i="4" s="1"/>
  <c r="Q15" i="4" l="1"/>
  <c r="Q12" i="4"/>
  <c r="Q21" i="9"/>
  <c r="K13" i="9" a="1"/>
  <c r="K13" i="9" s="1"/>
  <c r="K12" i="9" a="1"/>
  <c r="K12" i="9" s="1"/>
  <c r="K14" i="9" a="1"/>
  <c r="K14" i="9" s="1"/>
  <c r="K15" i="9" a="1"/>
  <c r="K15" i="9" s="1"/>
  <c r="K16" i="9" a="1"/>
  <c r="K16" i="9" s="1"/>
  <c r="K17" i="9" a="1"/>
  <c r="K17" i="9" s="1"/>
  <c r="O5" i="9"/>
  <c r="N5" i="9"/>
  <c r="O6" i="9"/>
  <c r="N6" i="9"/>
  <c r="N2" i="9"/>
  <c r="O2" i="9"/>
  <c r="N3" i="9"/>
  <c r="O3" i="9"/>
  <c r="L6" i="1"/>
  <c r="N3" i="4"/>
  <c r="N9" i="4"/>
  <c r="O8" i="4"/>
  <c r="N12" i="4"/>
  <c r="N11" i="4"/>
  <c r="N5" i="4"/>
  <c r="N14" i="4"/>
  <c r="P11" i="4"/>
  <c r="N15" i="4"/>
  <c r="P14" i="4"/>
  <c r="O2" i="4"/>
  <c r="O6" i="4"/>
  <c r="P5" i="4" s="1"/>
  <c r="Q6" i="4" l="1"/>
  <c r="P2" i="4"/>
  <c r="Q3" i="4"/>
  <c r="P8" i="4"/>
  <c r="Q9" i="4"/>
  <c r="P5" i="9"/>
  <c r="Q6" i="9" s="1"/>
  <c r="P2" i="9"/>
  <c r="P17" i="4" l="1"/>
  <c r="P18" i="4"/>
  <c r="P15" i="9"/>
  <c r="Q15" i="9" s="1"/>
  <c r="P10" i="9"/>
  <c r="Q3" i="9"/>
  <c r="P13" i="9"/>
  <c r="Q13" i="9" s="1"/>
  <c r="P14" i="9"/>
  <c r="Q14" i="9" s="1"/>
  <c r="P9" i="9"/>
  <c r="P16" i="9"/>
  <c r="Q16" i="9" s="1"/>
  <c r="P12" i="9"/>
  <c r="Q12" i="9" s="1"/>
  <c r="P17" i="9"/>
  <c r="Q17" i="9" s="1"/>
  <c r="A158" i="4" l="1"/>
  <c r="L21" i="4"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<sst xmlns="http://schemas.openxmlformats.org/spreadsheetml/2006/main" count="2981" uniqueCount="1592">
  <si>
    <t>O 愚人牌</t>
  </si>
  <si>
    <t>权杖国王</t>
  </si>
  <si>
    <t>圣杯国王</t>
  </si>
  <si>
    <t>宝剑国王</t>
  </si>
  <si>
    <t>星币国王</t>
  </si>
  <si>
    <t>I 魔术师</t>
  </si>
  <si>
    <t>权杖王后</t>
  </si>
  <si>
    <t>圣杯王后</t>
  </si>
  <si>
    <t>宝剑王后</t>
  </si>
  <si>
    <t>星币王后</t>
  </si>
  <si>
    <t>II 女祭司</t>
  </si>
  <si>
    <t>权杖骑士</t>
  </si>
  <si>
    <t>圣杯骑士</t>
  </si>
  <si>
    <t>宝剑骑士</t>
  </si>
  <si>
    <t>星币骑士</t>
  </si>
  <si>
    <t>III 皇后</t>
  </si>
  <si>
    <t>权杖侍从</t>
  </si>
  <si>
    <t>圣杯侍从</t>
  </si>
  <si>
    <t>宝剑侍从</t>
  </si>
  <si>
    <t>星币侍从</t>
  </si>
  <si>
    <t>IV 皇帝</t>
  </si>
  <si>
    <t>圣杯1</t>
  </si>
  <si>
    <t>宝剑1</t>
  </si>
  <si>
    <t>星币1</t>
  </si>
  <si>
    <t>V 教皇</t>
  </si>
  <si>
    <t>权杖2</t>
  </si>
  <si>
    <t>圣杯2</t>
  </si>
  <si>
    <t>宝剑2</t>
  </si>
  <si>
    <t>星币2</t>
  </si>
  <si>
    <t>VI 恋人</t>
  </si>
  <si>
    <t>权杖3</t>
  </si>
  <si>
    <t>圣杯3</t>
  </si>
  <si>
    <t>宝剑3</t>
  </si>
  <si>
    <t>星币3</t>
  </si>
  <si>
    <t>VII 战车</t>
  </si>
  <si>
    <t>权杖4</t>
  </si>
  <si>
    <t>圣杯4</t>
  </si>
  <si>
    <t>宝剑4</t>
  </si>
  <si>
    <t>星币4</t>
  </si>
  <si>
    <t>VIII 力量</t>
  </si>
  <si>
    <t>权杖5</t>
  </si>
  <si>
    <t>圣杯5</t>
  </si>
  <si>
    <t>宝剑5</t>
  </si>
  <si>
    <t>星币5</t>
  </si>
  <si>
    <t>IX 隐士</t>
  </si>
  <si>
    <t>权杖6</t>
  </si>
  <si>
    <t>圣杯6</t>
  </si>
  <si>
    <t>宝剑6</t>
  </si>
  <si>
    <t>星币6</t>
  </si>
  <si>
    <t>X 命运之轮</t>
  </si>
  <si>
    <t>权杖7</t>
  </si>
  <si>
    <t>圣杯7</t>
  </si>
  <si>
    <t>宝剑7</t>
  </si>
  <si>
    <t>星币7</t>
  </si>
  <si>
    <t>XI 正义</t>
  </si>
  <si>
    <t>权杖8</t>
  </si>
  <si>
    <t>圣杯8</t>
  </si>
  <si>
    <t>宝剑8</t>
  </si>
  <si>
    <t>星币8</t>
  </si>
  <si>
    <t>XII 倒吊人</t>
  </si>
  <si>
    <t>权杖9</t>
  </si>
  <si>
    <t>圣杯9</t>
  </si>
  <si>
    <t>宝剑9</t>
  </si>
  <si>
    <t>星币9</t>
  </si>
  <si>
    <t>XIII 死神</t>
  </si>
  <si>
    <t>权杖10</t>
  </si>
  <si>
    <t>圣杯10</t>
  </si>
  <si>
    <t>宝剑10</t>
  </si>
  <si>
    <t>星币10</t>
  </si>
  <si>
    <t>XIV 节制</t>
  </si>
  <si>
    <t>XV 恶魔</t>
  </si>
  <si>
    <t>XVI 高塔</t>
  </si>
  <si>
    <t>XVII 星星</t>
  </si>
  <si>
    <t>XVIII 月亮</t>
  </si>
  <si>
    <t>XIX 太阳</t>
  </si>
  <si>
    <t>XX 审判</t>
  </si>
  <si>
    <t>XXI 世界</t>
  </si>
  <si>
    <t>逆位O 愚人牌</t>
  </si>
  <si>
    <t>逆位I 魔术师</t>
  </si>
  <si>
    <t>逆位II 女祭司</t>
  </si>
  <si>
    <t>逆位III 皇后</t>
  </si>
  <si>
    <t>逆位IV 皇帝</t>
  </si>
  <si>
    <t>逆位V 教皇</t>
  </si>
  <si>
    <t>逆位VI 恋人</t>
  </si>
  <si>
    <t>逆位VII 战车</t>
  </si>
  <si>
    <t>逆位VIII 力量</t>
  </si>
  <si>
    <t>逆位IX 隐士</t>
  </si>
  <si>
    <t>逆位X 命运之轮</t>
  </si>
  <si>
    <t>逆位XI 正义</t>
  </si>
  <si>
    <t>逆位XII 倒吊人</t>
  </si>
  <si>
    <t>逆位XIII 死神</t>
  </si>
  <si>
    <t>逆位XIV 节制</t>
  </si>
  <si>
    <t>逆位XV 恶魔</t>
  </si>
  <si>
    <t>逆位XVI 高塔</t>
  </si>
  <si>
    <t>逆位XVII 星星</t>
  </si>
  <si>
    <t>逆位XVIII 月亮</t>
  </si>
  <si>
    <t>逆位XIX 太阳</t>
  </si>
  <si>
    <t>逆位XX 审判</t>
  </si>
  <si>
    <t>逆位XXI 世界</t>
  </si>
  <si>
    <t>逆位权杖侍从</t>
  </si>
  <si>
    <t>逆位圣杯侍从</t>
  </si>
  <si>
    <t>逆位宝剑侍从</t>
  </si>
  <si>
    <t>逆位星币侍从</t>
  </si>
  <si>
    <t>逆位权杖国王</t>
  </si>
  <si>
    <t>逆位权杖王后</t>
  </si>
  <si>
    <t>逆位权杖骑士</t>
  </si>
  <si>
    <t>逆位权杖1</t>
  </si>
  <si>
    <t>逆位权杖2</t>
  </si>
  <si>
    <t>逆位权杖3</t>
  </si>
  <si>
    <t>逆位权杖4</t>
  </si>
  <si>
    <t>逆位权杖5</t>
  </si>
  <si>
    <t>逆位权杖6</t>
  </si>
  <si>
    <t>逆位权杖7</t>
  </si>
  <si>
    <t>逆位权杖8</t>
  </si>
  <si>
    <t>逆位权杖9</t>
  </si>
  <si>
    <t>逆位权杖10</t>
  </si>
  <si>
    <t>逆位圣杯国王</t>
  </si>
  <si>
    <t>逆位圣杯王后</t>
  </si>
  <si>
    <t>逆位圣杯骑士</t>
  </si>
  <si>
    <t>逆位圣杯1</t>
  </si>
  <si>
    <t>逆位圣杯2</t>
  </si>
  <si>
    <t>逆位圣杯3</t>
  </si>
  <si>
    <t>逆位圣杯4</t>
  </si>
  <si>
    <t>逆位圣杯5</t>
  </si>
  <si>
    <t>逆位圣杯6</t>
  </si>
  <si>
    <t>逆位圣杯7</t>
  </si>
  <si>
    <t>逆位圣杯8</t>
  </si>
  <si>
    <t>逆位圣杯9</t>
  </si>
  <si>
    <t>逆位圣杯10</t>
  </si>
  <si>
    <t>逆位宝剑国王</t>
  </si>
  <si>
    <t>逆位宝剑王后</t>
  </si>
  <si>
    <t>逆位宝剑骑士</t>
  </si>
  <si>
    <t>逆位宝剑1</t>
  </si>
  <si>
    <t>逆位宝剑2</t>
  </si>
  <si>
    <t>逆位宝剑3</t>
  </si>
  <si>
    <t>逆位宝剑4</t>
  </si>
  <si>
    <t>逆位宝剑5</t>
  </si>
  <si>
    <t>逆位宝剑6</t>
  </si>
  <si>
    <t>逆位宝剑7</t>
  </si>
  <si>
    <t>逆位宝剑8</t>
  </si>
  <si>
    <t>逆位宝剑9</t>
  </si>
  <si>
    <t>逆位宝剑10</t>
  </si>
  <si>
    <t>逆位星币国王</t>
  </si>
  <si>
    <t>逆位星币王后</t>
  </si>
  <si>
    <t>逆位星币骑士</t>
  </si>
  <si>
    <t>逆位星币1</t>
  </si>
  <si>
    <t>逆位星币2</t>
  </si>
  <si>
    <t>逆位星币3</t>
  </si>
  <si>
    <t>逆位星币4</t>
  </si>
  <si>
    <t>逆位星币5</t>
  </si>
  <si>
    <t>逆位星币6</t>
  </si>
  <si>
    <t>逆位星币7</t>
  </si>
  <si>
    <t>逆位星币8</t>
  </si>
  <si>
    <t>逆位星币9</t>
  </si>
  <si>
    <t>逆位星币10</t>
  </si>
  <si>
    <t>正正正</t>
    <phoneticPr fontId="2" type="noConversion"/>
  </si>
  <si>
    <t>正正反</t>
    <phoneticPr fontId="2" type="noConversion"/>
  </si>
  <si>
    <t>正反反</t>
    <phoneticPr fontId="2" type="noConversion"/>
  </si>
  <si>
    <t>反反反</t>
    <phoneticPr fontId="2" type="noConversion"/>
  </si>
  <si>
    <t>阳</t>
    <phoneticPr fontId="2" type="noConversion"/>
  </si>
  <si>
    <t>阴</t>
    <phoneticPr fontId="2" type="noConversion"/>
  </si>
  <si>
    <t>阳阳阳</t>
  </si>
  <si>
    <t>乾</t>
    <phoneticPr fontId="2" type="noConversion"/>
  </si>
  <si>
    <t>☰</t>
  </si>
  <si>
    <t>☱</t>
  </si>
  <si>
    <t>兑</t>
    <phoneticPr fontId="2" type="noConversion"/>
  </si>
  <si>
    <t>阴阳阳</t>
    <phoneticPr fontId="2" type="noConversion"/>
  </si>
  <si>
    <t>☲</t>
  </si>
  <si>
    <t>离</t>
    <phoneticPr fontId="2" type="noConversion"/>
  </si>
  <si>
    <t>阳阴阳</t>
    <phoneticPr fontId="2" type="noConversion"/>
  </si>
  <si>
    <t>阳阴阴</t>
    <phoneticPr fontId="2" type="noConversion"/>
  </si>
  <si>
    <t>☳</t>
  </si>
  <si>
    <t>震</t>
    <phoneticPr fontId="2" type="noConversion"/>
  </si>
  <si>
    <t>阴阴阳</t>
    <phoneticPr fontId="2" type="noConversion"/>
  </si>
  <si>
    <t>☴</t>
  </si>
  <si>
    <t>巽</t>
    <phoneticPr fontId="2" type="noConversion"/>
  </si>
  <si>
    <t>阳阳阴</t>
    <phoneticPr fontId="2" type="noConversion"/>
  </si>
  <si>
    <t>☵</t>
  </si>
  <si>
    <t>坎</t>
    <phoneticPr fontId="2" type="noConversion"/>
  </si>
  <si>
    <t>阴阳阴</t>
    <phoneticPr fontId="2" type="noConversion"/>
  </si>
  <si>
    <t>☶</t>
  </si>
  <si>
    <t>艮</t>
    <phoneticPr fontId="2" type="noConversion"/>
  </si>
  <si>
    <t>☷</t>
  </si>
  <si>
    <t>坤</t>
    <phoneticPr fontId="2" type="noConversion"/>
  </si>
  <si>
    <t>阴阴阴</t>
    <phoneticPr fontId="2" type="noConversion"/>
  </si>
  <si>
    <t>天</t>
    <phoneticPr fontId="2" type="noConversion"/>
  </si>
  <si>
    <t>泽</t>
    <phoneticPr fontId="2" type="noConversion"/>
  </si>
  <si>
    <t>火</t>
    <phoneticPr fontId="2" type="noConversion"/>
  </si>
  <si>
    <t>雷</t>
    <phoneticPr fontId="2" type="noConversion"/>
  </si>
  <si>
    <t>风</t>
    <phoneticPr fontId="2" type="noConversion"/>
  </si>
  <si>
    <t>水</t>
    <phoneticPr fontId="2" type="noConversion"/>
  </si>
  <si>
    <t>山</t>
    <phoneticPr fontId="2" type="noConversion"/>
  </si>
  <si>
    <t>地</t>
    <phoneticPr fontId="2" type="noConversion"/>
  </si>
  <si>
    <t>婚姻卦有三个：雷泽归妹、雷风恒、泽山咸。　　</t>
  </si>
  <si>
    <t>（测婚：女的官鬼持世，男的妻财持世，财官同爻的，都已在一起了。）　　</t>
  </si>
  <si>
    <t>初</t>
    <phoneticPr fontId="2" type="noConversion"/>
  </si>
  <si>
    <t>二</t>
    <phoneticPr fontId="2" type="noConversion"/>
  </si>
  <si>
    <t>三</t>
    <phoneticPr fontId="2" type="noConversion"/>
  </si>
  <si>
    <t>四</t>
    <phoneticPr fontId="2" type="noConversion"/>
  </si>
  <si>
    <t>五</t>
    <phoneticPr fontId="2" type="noConversion"/>
  </si>
  <si>
    <t>上</t>
    <phoneticPr fontId="2" type="noConversion"/>
  </si>
  <si>
    <t>本卦</t>
    <phoneticPr fontId="2" type="noConversion"/>
  </si>
  <si>
    <t>之卦</t>
    <phoneticPr fontId="2" type="noConversion"/>
  </si>
  <si>
    <t>寅</t>
    <phoneticPr fontId="2" type="noConversion"/>
  </si>
  <si>
    <t>☰</t>
    <phoneticPr fontId="2" type="noConversion"/>
  </si>
  <si>
    <t>☱</t>
    <phoneticPr fontId="2" type="noConversion"/>
  </si>
  <si>
    <t>☲</t>
    <phoneticPr fontId="2" type="noConversion"/>
  </si>
  <si>
    <t>☳</t>
    <phoneticPr fontId="2" type="noConversion"/>
  </si>
  <si>
    <t>☴</t>
    <phoneticPr fontId="2" type="noConversion"/>
  </si>
  <si>
    <t>☵</t>
    <phoneticPr fontId="2" type="noConversion"/>
  </si>
  <si>
    <t>☶</t>
    <phoneticPr fontId="2" type="noConversion"/>
  </si>
  <si>
    <t>☷</t>
    <phoneticPr fontId="2" type="noConversion"/>
  </si>
  <si>
    <t>乾一，兑二，离三，震四，巽五，坎六，艮七，坤八</t>
    <phoneticPr fontId="2" type="noConversion"/>
  </si>
  <si>
    <t>坎北，离南，震东，兑西，乾西北，坤西南，巽东南，艮东北</t>
    <phoneticPr fontId="2" type="noConversion"/>
  </si>
  <si>
    <t>乾 西北</t>
    <phoneticPr fontId="2" type="noConversion"/>
  </si>
  <si>
    <t>坎 北</t>
    <phoneticPr fontId="2" type="noConversion"/>
  </si>
  <si>
    <t>艮 东北</t>
    <phoneticPr fontId="2" type="noConversion"/>
  </si>
  <si>
    <t>兑 西</t>
    <phoneticPr fontId="2" type="noConversion"/>
  </si>
  <si>
    <t>坤 西南</t>
    <phoneticPr fontId="2" type="noConversion"/>
  </si>
  <si>
    <t>离 南</t>
    <phoneticPr fontId="2" type="noConversion"/>
  </si>
  <si>
    <t>巽 东南</t>
    <phoneticPr fontId="2" type="noConversion"/>
  </si>
  <si>
    <t>震 东</t>
    <phoneticPr fontId="2" type="noConversion"/>
  </si>
  <si>
    <r>
      <t>阳</t>
    </r>
    <r>
      <rPr>
        <sz val="11"/>
        <rFont val="等线"/>
        <family val="3"/>
        <charset val="134"/>
      </rPr>
      <t>○</t>
    </r>
    <phoneticPr fontId="2" type="noConversion"/>
  </si>
  <si>
    <t>阴○</t>
    <phoneticPr fontId="2" type="noConversion"/>
  </si>
  <si>
    <t>阳阳○阳</t>
  </si>
  <si>
    <t>阳○阳阳</t>
  </si>
  <si>
    <t>阳○阳○阳</t>
  </si>
  <si>
    <t>阳○阳阳○</t>
  </si>
  <si>
    <t>阳阳○阳○</t>
  </si>
  <si>
    <t>阳○阳○阳○</t>
  </si>
  <si>
    <t>阴阳阳○</t>
  </si>
  <si>
    <t>阴阳○阳</t>
  </si>
  <si>
    <t>阴阳○阳○</t>
  </si>
  <si>
    <t>阳阴阳○</t>
  </si>
  <si>
    <t>阳○阴阳</t>
  </si>
  <si>
    <t>阳○阴阳○</t>
  </si>
  <si>
    <t>阴阴阳○</t>
  </si>
  <si>
    <t>阳阳○阴</t>
  </si>
  <si>
    <t>阳○阳阴</t>
  </si>
  <si>
    <t>阳○阳○阴</t>
  </si>
  <si>
    <t>阴阳○阴</t>
  </si>
  <si>
    <t>阳○阴阴</t>
  </si>
  <si>
    <t>阴○阳阳</t>
  </si>
  <si>
    <t>阴○阳○阳</t>
  </si>
  <si>
    <t>阴○阳阳○</t>
  </si>
  <si>
    <t>阴○阳○阳○</t>
  </si>
  <si>
    <t>阳○阴○阳</t>
  </si>
  <si>
    <t>阳阴○阳○</t>
  </si>
  <si>
    <t>阳○阴○阳○</t>
  </si>
  <si>
    <t>阴阴○阳</t>
  </si>
  <si>
    <t>阴○阴阳</t>
  </si>
  <si>
    <t>阴○阴○阳</t>
  </si>
  <si>
    <t>阴○阴阳○</t>
  </si>
  <si>
    <t>阴阴○阳○</t>
  </si>
  <si>
    <t>阴○阴○阳○</t>
  </si>
  <si>
    <t>阳阳阴○</t>
  </si>
  <si>
    <t>阳○阳阴○</t>
  </si>
  <si>
    <t>阳阳○阴○</t>
  </si>
  <si>
    <t>阳○阳○阴○</t>
  </si>
  <si>
    <t>阴阳阴○</t>
  </si>
  <si>
    <t>阴○阳阴</t>
  </si>
  <si>
    <t>阴○阳○阴</t>
  </si>
  <si>
    <t>阴○阳阴○</t>
  </si>
  <si>
    <t>阴阳○阴○</t>
  </si>
  <si>
    <t>阴○阳○阴○</t>
  </si>
  <si>
    <t>阳阴阴○</t>
  </si>
  <si>
    <t>阳阴○阴</t>
  </si>
  <si>
    <t>阳○阴○阴</t>
  </si>
  <si>
    <t>阳○阴阴○</t>
  </si>
  <si>
    <t>阳阴○阴○</t>
  </si>
  <si>
    <t>阳○阴○阴○</t>
  </si>
  <si>
    <t>阴阴阴○</t>
  </si>
  <si>
    <t>阴阴○阴</t>
  </si>
  <si>
    <t>阴○阴阴</t>
  </si>
  <si>
    <t>阴○阴○阴</t>
  </si>
  <si>
    <t>阴○阴阴○</t>
  </si>
  <si>
    <t>阴阴○阴○</t>
  </si>
  <si>
    <t>阴○阴○阴○</t>
  </si>
  <si>
    <t>错卦</t>
    <phoneticPr fontId="2" type="noConversion"/>
  </si>
  <si>
    <t>事情的现状。</t>
  </si>
  <si>
    <t>事情的最终结果。</t>
  </si>
  <si>
    <t>事情发展过程中的内在矛盾/隐藏动态。</t>
  </si>
  <si>
    <t>事情的反面状态，即“不是什么”。</t>
  </si>
  <si>
    <t>阳阴○阳</t>
    <phoneticPr fontId="2" type="noConversion"/>
  </si>
  <si>
    <t>阳阳阳○</t>
    <phoneticPr fontId="2" type="noConversion"/>
  </si>
  <si>
    <t>行星</t>
    <phoneticPr fontId="2" type="noConversion"/>
  </si>
  <si>
    <t>星座</t>
    <phoneticPr fontId="2" type="noConversion"/>
  </si>
  <si>
    <t>宫位</t>
    <phoneticPr fontId="2" type="noConversion"/>
  </si>
  <si>
    <t>第一宫</t>
    <phoneticPr fontId="2" type="noConversion"/>
  </si>
  <si>
    <t>第二宫</t>
    <phoneticPr fontId="2" type="noConversion"/>
  </si>
  <si>
    <t>第三宫</t>
    <phoneticPr fontId="2" type="noConversion"/>
  </si>
  <si>
    <t>第四宫</t>
    <phoneticPr fontId="2" type="noConversion"/>
  </si>
  <si>
    <t>第五宫</t>
    <phoneticPr fontId="2" type="noConversion"/>
  </si>
  <si>
    <t>第六宫</t>
    <phoneticPr fontId="2" type="noConversion"/>
  </si>
  <si>
    <t>第七宫</t>
    <phoneticPr fontId="2" type="noConversion"/>
  </si>
  <si>
    <t>第八宫</t>
    <phoneticPr fontId="2" type="noConversion"/>
  </si>
  <si>
    <t>第九宫</t>
    <phoneticPr fontId="2" type="noConversion"/>
  </si>
  <si>
    <t>第十宫</t>
    <phoneticPr fontId="2" type="noConversion"/>
  </si>
  <si>
    <t>第十一宫</t>
    <phoneticPr fontId="2" type="noConversion"/>
  </si>
  <si>
    <t>第十二宫</t>
    <phoneticPr fontId="2" type="noConversion"/>
  </si>
  <si>
    <t>太阳 ☉</t>
    <phoneticPr fontId="2" type="noConversion"/>
  </si>
  <si>
    <t>金星 ♀</t>
    <phoneticPr fontId="2" type="noConversion"/>
  </si>
  <si>
    <t>火星 ♂</t>
    <phoneticPr fontId="2" type="noConversion"/>
  </si>
  <si>
    <r>
      <t xml:space="preserve">水星  </t>
    </r>
    <r>
      <rPr>
        <sz val="11"/>
        <color theme="1"/>
        <rFont val="Segoe UI Symbol"/>
        <family val="2"/>
      </rPr>
      <t>☿</t>
    </r>
    <phoneticPr fontId="2" type="noConversion"/>
  </si>
  <si>
    <r>
      <t xml:space="preserve">月亮  </t>
    </r>
    <r>
      <rPr>
        <sz val="11"/>
        <color theme="1"/>
        <rFont val="Segoe UI Symbol"/>
        <family val="2"/>
      </rPr>
      <t>☽</t>
    </r>
    <phoneticPr fontId="2" type="noConversion"/>
  </si>
  <si>
    <r>
      <t xml:space="preserve">木星 </t>
    </r>
    <r>
      <rPr>
        <sz val="11"/>
        <color theme="1"/>
        <rFont val="Segoe UI Symbol"/>
        <family val="2"/>
      </rPr>
      <t>♃</t>
    </r>
    <phoneticPr fontId="2" type="noConversion"/>
  </si>
  <si>
    <r>
      <t xml:space="preserve">土星 </t>
    </r>
    <r>
      <rPr>
        <sz val="11"/>
        <color theme="1"/>
        <rFont val="Segoe UI Symbol"/>
        <family val="2"/>
      </rPr>
      <t>♄</t>
    </r>
    <phoneticPr fontId="2" type="noConversion"/>
  </si>
  <si>
    <r>
      <t xml:space="preserve">天王星 </t>
    </r>
    <r>
      <rPr>
        <sz val="11"/>
        <color theme="1"/>
        <rFont val="Segoe UI Symbol"/>
        <family val="2"/>
      </rPr>
      <t>♅</t>
    </r>
    <phoneticPr fontId="2" type="noConversion"/>
  </si>
  <si>
    <r>
      <t xml:space="preserve">海王星 </t>
    </r>
    <r>
      <rPr>
        <sz val="11"/>
        <color theme="1"/>
        <rFont val="Segoe UI Symbol"/>
        <family val="2"/>
      </rPr>
      <t>♆</t>
    </r>
    <phoneticPr fontId="2" type="noConversion"/>
  </si>
  <si>
    <r>
      <t xml:space="preserve">冥王星 </t>
    </r>
    <r>
      <rPr>
        <sz val="11"/>
        <color theme="1"/>
        <rFont val="Segoe UI Symbol"/>
        <family val="2"/>
      </rPr>
      <t>♇</t>
    </r>
    <phoneticPr fontId="2" type="noConversion"/>
  </si>
  <si>
    <r>
      <t xml:space="preserve">北交点 </t>
    </r>
    <r>
      <rPr>
        <sz val="11"/>
        <color theme="1"/>
        <rFont val="Segoe UI Symbol"/>
        <family val="2"/>
      </rPr>
      <t>☊</t>
    </r>
    <phoneticPr fontId="2" type="noConversion"/>
  </si>
  <si>
    <r>
      <t xml:space="preserve">南交点 </t>
    </r>
    <r>
      <rPr>
        <sz val="11"/>
        <color theme="1"/>
        <rFont val="Segoe UI Symbol"/>
        <family val="2"/>
      </rPr>
      <t>☋</t>
    </r>
    <phoneticPr fontId="2" type="noConversion"/>
  </si>
  <si>
    <r>
      <t xml:space="preserve">白羊座 </t>
    </r>
    <r>
      <rPr>
        <sz val="11"/>
        <color theme="1"/>
        <rFont val="Segoe UI Symbol"/>
        <family val="2"/>
      </rPr>
      <t>♈</t>
    </r>
    <phoneticPr fontId="2" type="noConversion"/>
  </si>
  <si>
    <r>
      <t xml:space="preserve">金牛座 </t>
    </r>
    <r>
      <rPr>
        <sz val="11"/>
        <color theme="1"/>
        <rFont val="Segoe UI Symbol"/>
        <family val="2"/>
      </rPr>
      <t>♉</t>
    </r>
    <phoneticPr fontId="2" type="noConversion"/>
  </si>
  <si>
    <r>
      <t xml:space="preserve">双子座 </t>
    </r>
    <r>
      <rPr>
        <sz val="11"/>
        <color theme="1"/>
        <rFont val="Segoe UI Symbol"/>
        <family val="2"/>
      </rPr>
      <t>♊</t>
    </r>
    <phoneticPr fontId="2" type="noConversion"/>
  </si>
  <si>
    <r>
      <t xml:space="preserve">巨蟹座 </t>
    </r>
    <r>
      <rPr>
        <sz val="11"/>
        <color theme="1"/>
        <rFont val="Segoe UI Symbol"/>
        <family val="2"/>
      </rPr>
      <t>♋</t>
    </r>
    <phoneticPr fontId="2" type="noConversion"/>
  </si>
  <si>
    <r>
      <t xml:space="preserve">狮子座 </t>
    </r>
    <r>
      <rPr>
        <sz val="11"/>
        <color theme="1"/>
        <rFont val="Segoe UI Symbol"/>
        <family val="2"/>
      </rPr>
      <t>♌</t>
    </r>
    <phoneticPr fontId="2" type="noConversion"/>
  </si>
  <si>
    <r>
      <t xml:space="preserve">处女座 </t>
    </r>
    <r>
      <rPr>
        <sz val="11"/>
        <color theme="1"/>
        <rFont val="Segoe UI Symbol"/>
        <family val="2"/>
      </rPr>
      <t>♍</t>
    </r>
    <phoneticPr fontId="2" type="noConversion"/>
  </si>
  <si>
    <r>
      <t xml:space="preserve">天平座 </t>
    </r>
    <r>
      <rPr>
        <sz val="11"/>
        <color theme="1"/>
        <rFont val="Segoe UI Symbol"/>
        <family val="2"/>
      </rPr>
      <t>♎</t>
    </r>
    <phoneticPr fontId="2" type="noConversion"/>
  </si>
  <si>
    <r>
      <t xml:space="preserve">天蝎座 </t>
    </r>
    <r>
      <rPr>
        <sz val="11"/>
        <color theme="1"/>
        <rFont val="Segoe UI Symbol"/>
        <family val="2"/>
      </rPr>
      <t>♏</t>
    </r>
    <phoneticPr fontId="2" type="noConversion"/>
  </si>
  <si>
    <r>
      <t xml:space="preserve">射手座 </t>
    </r>
    <r>
      <rPr>
        <sz val="11"/>
        <color theme="1"/>
        <rFont val="Segoe UI Symbol"/>
        <family val="2"/>
      </rPr>
      <t>♐</t>
    </r>
    <phoneticPr fontId="2" type="noConversion"/>
  </si>
  <si>
    <r>
      <t xml:space="preserve">魔羯座 </t>
    </r>
    <r>
      <rPr>
        <sz val="11"/>
        <color theme="1"/>
        <rFont val="Segoe UI Symbol"/>
        <family val="2"/>
      </rPr>
      <t>♑</t>
    </r>
    <phoneticPr fontId="2" type="noConversion"/>
  </si>
  <si>
    <r>
      <t xml:space="preserve">水瓶座 </t>
    </r>
    <r>
      <rPr>
        <sz val="11"/>
        <color theme="1"/>
        <rFont val="Segoe UI Symbol"/>
        <family val="2"/>
      </rPr>
      <t>♒</t>
    </r>
    <phoneticPr fontId="2" type="noConversion"/>
  </si>
  <si>
    <r>
      <t xml:space="preserve">双鱼座 </t>
    </r>
    <r>
      <rPr>
        <sz val="11"/>
        <color theme="1"/>
        <rFont val="Segoe UI Symbol"/>
        <family val="2"/>
      </rPr>
      <t>♓</t>
    </r>
    <phoneticPr fontId="2" type="noConversion"/>
  </si>
  <si>
    <t>春</t>
    <phoneticPr fontId="2" type="noConversion"/>
  </si>
  <si>
    <t>权杖王后</t>
    <phoneticPr fontId="2" type="noConversion"/>
  </si>
  <si>
    <t>白羊</t>
    <phoneticPr fontId="2" type="noConversion"/>
  </si>
  <si>
    <t>3.21-4.20</t>
    <phoneticPr fontId="2" type="noConversion"/>
  </si>
  <si>
    <t>3.21-3.30</t>
    <phoneticPr fontId="2" type="noConversion"/>
  </si>
  <si>
    <t>3.31-4.10</t>
    <phoneticPr fontId="2" type="noConversion"/>
  </si>
  <si>
    <t>4.11-4.20</t>
    <phoneticPr fontId="2" type="noConversion"/>
  </si>
  <si>
    <t>金牛</t>
    <phoneticPr fontId="2" type="noConversion"/>
  </si>
  <si>
    <t>4.21-5.20</t>
    <phoneticPr fontId="2" type="noConversion"/>
  </si>
  <si>
    <t>星币国王</t>
    <phoneticPr fontId="2" type="noConversion"/>
  </si>
  <si>
    <t>4.21-4.30</t>
    <phoneticPr fontId="2" type="noConversion"/>
  </si>
  <si>
    <t>5.1-5.10</t>
    <phoneticPr fontId="2" type="noConversion"/>
  </si>
  <si>
    <t>5.11-5.20</t>
    <phoneticPr fontId="2" type="noConversion"/>
  </si>
  <si>
    <t>宝剑骑士</t>
    <phoneticPr fontId="2" type="noConversion"/>
  </si>
  <si>
    <t>双子</t>
    <phoneticPr fontId="2" type="noConversion"/>
  </si>
  <si>
    <t>5.21-6.20</t>
    <phoneticPr fontId="2" type="noConversion"/>
  </si>
  <si>
    <t>5.21-5.31</t>
    <phoneticPr fontId="2" type="noConversion"/>
  </si>
  <si>
    <t>6.1-6.10</t>
    <phoneticPr fontId="2" type="noConversion"/>
  </si>
  <si>
    <t>6.11-6.20</t>
    <phoneticPr fontId="2" type="noConversion"/>
  </si>
  <si>
    <t>夏</t>
    <phoneticPr fontId="2" type="noConversion"/>
  </si>
  <si>
    <t>秋</t>
    <phoneticPr fontId="2" type="noConversion"/>
  </si>
  <si>
    <t>冬</t>
    <phoneticPr fontId="2" type="noConversion"/>
  </si>
  <si>
    <t>巨蟹</t>
    <phoneticPr fontId="2" type="noConversion"/>
  </si>
  <si>
    <t>狮子</t>
    <phoneticPr fontId="2" type="noConversion"/>
  </si>
  <si>
    <t>处女</t>
    <phoneticPr fontId="2" type="noConversion"/>
  </si>
  <si>
    <t>天秤</t>
    <phoneticPr fontId="2" type="noConversion"/>
  </si>
  <si>
    <t>天蝎</t>
    <phoneticPr fontId="2" type="noConversion"/>
  </si>
  <si>
    <t>射手</t>
    <phoneticPr fontId="2" type="noConversion"/>
  </si>
  <si>
    <t>摩羯</t>
    <phoneticPr fontId="2" type="noConversion"/>
  </si>
  <si>
    <t>水瓶</t>
    <phoneticPr fontId="2" type="noConversion"/>
  </si>
  <si>
    <t>双鱼</t>
    <phoneticPr fontId="2" type="noConversion"/>
  </si>
  <si>
    <t>圣杯王后</t>
    <phoneticPr fontId="2" type="noConversion"/>
  </si>
  <si>
    <t>权杖国王</t>
    <phoneticPr fontId="2" type="noConversion"/>
  </si>
  <si>
    <t>星币骑士</t>
    <phoneticPr fontId="2" type="noConversion"/>
  </si>
  <si>
    <t>宝剑王后</t>
    <phoneticPr fontId="2" type="noConversion"/>
  </si>
  <si>
    <t>圣杯国王</t>
    <phoneticPr fontId="2" type="noConversion"/>
  </si>
  <si>
    <t>权杖骑士</t>
    <phoneticPr fontId="2" type="noConversion"/>
  </si>
  <si>
    <t>星币王后</t>
    <phoneticPr fontId="2" type="noConversion"/>
  </si>
  <si>
    <t>宝剑国王</t>
    <phoneticPr fontId="2" type="noConversion"/>
  </si>
  <si>
    <t>圣杯骑士</t>
    <phoneticPr fontId="2" type="noConversion"/>
  </si>
  <si>
    <t>6.21-7.21</t>
    <phoneticPr fontId="2" type="noConversion"/>
  </si>
  <si>
    <t>7.22-8.22</t>
    <phoneticPr fontId="2" type="noConversion"/>
  </si>
  <si>
    <t>8.23-9.22</t>
    <phoneticPr fontId="2" type="noConversion"/>
  </si>
  <si>
    <t>9.23-10.22</t>
    <phoneticPr fontId="2" type="noConversion"/>
  </si>
  <si>
    <t>10.23-11.22</t>
    <phoneticPr fontId="2" type="noConversion"/>
  </si>
  <si>
    <t>11.23-12.21</t>
    <phoneticPr fontId="2" type="noConversion"/>
  </si>
  <si>
    <t>12.22-1.19</t>
    <phoneticPr fontId="2" type="noConversion"/>
  </si>
  <si>
    <t>1.20-2.18</t>
    <phoneticPr fontId="2" type="noConversion"/>
  </si>
  <si>
    <t>2.19-3.20</t>
    <phoneticPr fontId="2" type="noConversion"/>
  </si>
  <si>
    <t>6.21-7.1</t>
    <phoneticPr fontId="2" type="noConversion"/>
  </si>
  <si>
    <t>7.2-7.11</t>
    <phoneticPr fontId="2" type="noConversion"/>
  </si>
  <si>
    <t>7.12-7.21</t>
    <phoneticPr fontId="2" type="noConversion"/>
  </si>
  <si>
    <t>7.22-8.1</t>
    <phoneticPr fontId="2" type="noConversion"/>
  </si>
  <si>
    <t>8.2-8.11</t>
    <phoneticPr fontId="2" type="noConversion"/>
  </si>
  <si>
    <t>8.12-8.22</t>
    <phoneticPr fontId="2" type="noConversion"/>
  </si>
  <si>
    <t>8.23-9.1</t>
    <phoneticPr fontId="2" type="noConversion"/>
  </si>
  <si>
    <t>9.2-9.11</t>
    <phoneticPr fontId="2" type="noConversion"/>
  </si>
  <si>
    <t>9.12-9.22</t>
    <phoneticPr fontId="2" type="noConversion"/>
  </si>
  <si>
    <t>9.23-10.2</t>
    <phoneticPr fontId="2" type="noConversion"/>
  </si>
  <si>
    <t>10.3-10.12</t>
    <phoneticPr fontId="2" type="noConversion"/>
  </si>
  <si>
    <t>10.13-10.22</t>
    <phoneticPr fontId="2" type="noConversion"/>
  </si>
  <si>
    <t>10.23-11.1</t>
    <phoneticPr fontId="2" type="noConversion"/>
  </si>
  <si>
    <t>11.2-11.12</t>
    <phoneticPr fontId="2" type="noConversion"/>
  </si>
  <si>
    <t>11.13-11.22</t>
    <phoneticPr fontId="2" type="noConversion"/>
  </si>
  <si>
    <t>11.23-12.2</t>
    <phoneticPr fontId="2" type="noConversion"/>
  </si>
  <si>
    <t>12.3-12.12</t>
    <phoneticPr fontId="2" type="noConversion"/>
  </si>
  <si>
    <t>12.13-12.21</t>
    <phoneticPr fontId="2" type="noConversion"/>
  </si>
  <si>
    <t>12.22-12.30</t>
    <phoneticPr fontId="2" type="noConversion"/>
  </si>
  <si>
    <t>12.31-1.9</t>
    <phoneticPr fontId="2" type="noConversion"/>
  </si>
  <si>
    <t>1.10-1.19</t>
    <phoneticPr fontId="2" type="noConversion"/>
  </si>
  <si>
    <t>1.20-2.9</t>
    <phoneticPr fontId="2" type="noConversion"/>
  </si>
  <si>
    <t>1.30-2.8</t>
    <phoneticPr fontId="2" type="noConversion"/>
  </si>
  <si>
    <t>2.9-2.18</t>
    <phoneticPr fontId="2" type="noConversion"/>
  </si>
  <si>
    <t>2.19-2.28</t>
    <phoneticPr fontId="2" type="noConversion"/>
  </si>
  <si>
    <t>3.1-3.10</t>
    <phoneticPr fontId="2" type="noConversion"/>
  </si>
  <si>
    <t>3.11-3.20</t>
    <phoneticPr fontId="2" type="noConversion"/>
  </si>
  <si>
    <t>开创、行动、冲动、勇气、竞争</t>
  </si>
  <si>
    <t>自信、创造、表现、领导、荣耀</t>
  </si>
  <si>
    <t>探索、自由、乐观、哲学、扩展</t>
  </si>
  <si>
    <t>稳定、物质、感官、价值、持久</t>
  </si>
  <si>
    <t>分析、服务、完美、实际、健康</t>
  </si>
  <si>
    <t>目标、责任、结构、成就、权威</t>
  </si>
  <si>
    <t>沟通、多样、灵活、信息、学习</t>
  </si>
  <si>
    <t>平衡、关系、和谐、美感、合作</t>
  </si>
  <si>
    <t>创新、独立、人道、理想、改革</t>
  </si>
  <si>
    <t>情感、家庭、保护、滋养、归属</t>
  </si>
  <si>
    <t>深度、转化、力量、秘密、重生</t>
  </si>
  <si>
    <t>梦想、灵性、同情、直觉、牺牲</t>
  </si>
  <si>
    <t>自我、外表、人格、开始</t>
  </si>
  <si>
    <t>金钱、资源、价值观、物质</t>
  </si>
  <si>
    <t>沟通、学习、兄弟姐妹、短途旅行</t>
  </si>
  <si>
    <t>家庭、根基、情感安全、私密空间</t>
  </si>
  <si>
    <t>创造、恋爱、娱乐、子女、表达</t>
  </si>
  <si>
    <t>工作、健康、日常事务、服务</t>
  </si>
  <si>
    <t>伙伴、婚姻、合作、公开敌人</t>
  </si>
  <si>
    <t>转化、共享资源、性、深层心理</t>
  </si>
  <si>
    <t>高等教育、远行、哲学、信仰</t>
  </si>
  <si>
    <t>事业、地位、公众形象、成就</t>
  </si>
  <si>
    <t>朋友、团体、愿望、社交网络</t>
  </si>
  <si>
    <t>潜意识、隐藏、灵性、业力</t>
  </si>
  <si>
    <t>核心自我、意志、生命力、父亲</t>
  </si>
  <si>
    <t>情绪、需求、习惯、母亲、滋养</t>
  </si>
  <si>
    <t>思维、沟通、学习、交通、商业</t>
  </si>
  <si>
    <t>爱情、美感、价值、金钱、享受</t>
  </si>
  <si>
    <t>行动、欲望、勇气、冲突、性能量</t>
  </si>
  <si>
    <t>扩展、幸运、成长、信仰、机会</t>
  </si>
  <si>
    <t>限制、责任、考验、结构、时间</t>
  </si>
  <si>
    <t>突变、革新、自由、独特、意外</t>
  </si>
  <si>
    <t>梦想、迷惑、灵性、幻觉、溶解</t>
  </si>
  <si>
    <t>转化、权力、深层、极端、重生</t>
  </si>
  <si>
    <t>关注成长方向、新机会、需要突破的领域</t>
  </si>
  <si>
    <t>关注过去经验、重复模式、需要释放的部分</t>
  </si>
  <si>
    <t>消息、新闻、访客、到来、快速移动、年轻男性</t>
  </si>
  <si>
    <t>运气、机会、短暂的幸福、轻松、偶然</t>
  </si>
  <si>
    <t>旅行、远方、贸易、离开、进口/出口、探索</t>
  </si>
  <si>
    <t>骑士（Rider）</t>
  </si>
  <si>
    <t>三叶草（Clover）</t>
  </si>
  <si>
    <t>船（Ship）</t>
  </si>
  <si>
    <t>房屋（House）</t>
  </si>
  <si>
    <t>家庭、房产、稳定、安全、传统、不动产</t>
  </si>
  <si>
    <t>树（Tree）</t>
  </si>
  <si>
    <t>健康、生命力、根源、成长、家族、长期发展</t>
  </si>
  <si>
    <t>云（Clouds）</t>
  </si>
  <si>
    <t>困惑、不确定、怀疑、秘密、阴暗面（左暗右明）</t>
  </si>
  <si>
    <t>蛇（Snake）</t>
  </si>
  <si>
    <t>欺骗、复杂、诱惑、嫉妒、狡猾的女性、迂回</t>
  </si>
  <si>
    <t>棺材（Coffin）</t>
  </si>
  <si>
    <t>结束、疾病、停滞、悲伤、转化、终结</t>
  </si>
  <si>
    <t>花束（Bouquet）</t>
  </si>
  <si>
    <t>礼物、邀请、美好、感激、社交、愉快</t>
  </si>
  <si>
    <t>突然、危险、收获、切断、手术、决断</t>
  </si>
  <si>
    <t>镰刀（Scythe）</t>
  </si>
  <si>
    <t>鞭子（Whip/Birch）</t>
  </si>
  <si>
    <t>冲突、争吵、重复、性、锻炼、虐待</t>
  </si>
  <si>
    <t>鸟（Birds）</t>
  </si>
  <si>
    <t>交谈、紧张、社交媒体、双胞胎、一对、电话</t>
  </si>
  <si>
    <t>孩子（Child）</t>
  </si>
  <si>
    <t>新开始、天真、小事物、儿童、不成熟</t>
  </si>
  <si>
    <t>工作、狡猾、自私、欺诈、策略、生存</t>
  </si>
  <si>
    <t>狐狸（Fox）</t>
  </si>
  <si>
    <t>熊（Bear）</t>
  </si>
  <si>
    <t>力量、权威、财务、保护、母性、老板</t>
  </si>
  <si>
    <t>星星（Stars）</t>
  </si>
  <si>
    <t>希望、指引、灵性、成功、名声、清晰</t>
  </si>
  <si>
    <t>鹳（Stork）</t>
  </si>
  <si>
    <t>变化、搬家、怀孕、改善、迁移、周期</t>
  </si>
  <si>
    <t>狗（Dog）</t>
  </si>
  <si>
    <t>朋友、忠诚、信任、支持、可靠的人</t>
  </si>
  <si>
    <t>塔（Tower）</t>
  </si>
  <si>
    <t>权威、孤立、公司、官僚、自我、高度</t>
  </si>
  <si>
    <t>花园（Garden）</t>
  </si>
  <si>
    <t>公众、社交、活动、人群、网络、公开场合</t>
  </si>
  <si>
    <t>山（Mountain）</t>
  </si>
  <si>
    <t>障碍、延迟、挑战、阻塞、坚持、难以跨越</t>
  </si>
  <si>
    <t>道路（Crossroads）</t>
  </si>
  <si>
    <t>选择、决定、分叉、自由意志、多个选项</t>
  </si>
  <si>
    <t>老鼠（Mice）</t>
  </si>
  <si>
    <t>损失、压力、侵蚀、小偷、担忧、逐渐减少</t>
  </si>
  <si>
    <t>心（Heart）</t>
  </si>
  <si>
    <t>爱情、情感、热情、关系、同情、核心</t>
  </si>
  <si>
    <t>戒指（Ring）</t>
  </si>
  <si>
    <t>承诺、合同、婚姻、周期、协议、连接</t>
  </si>
  <si>
    <t>书（Book）</t>
  </si>
  <si>
    <t>秘密、知识、学习、研究、未知、教育</t>
  </si>
  <si>
    <t>信（Letter）</t>
  </si>
  <si>
    <t>文件、邮件、信息、证书、书面沟通</t>
  </si>
  <si>
    <t>男士（Man/Gentleman）</t>
  </si>
  <si>
    <t>问卜者本人（如为男性）或重要男性</t>
  </si>
  <si>
    <t>女士（Woman/Lady）</t>
  </si>
  <si>
    <t>问卜者本人（如为女性）或重要女性</t>
  </si>
  <si>
    <t>百合（Lily）</t>
  </si>
  <si>
    <t>和平、成熟、性、道德、老年、智慧、家族</t>
  </si>
  <si>
    <t>太阳（Sun）</t>
  </si>
  <si>
    <t>成功、能量、温暖、胜利、积极、幸福</t>
  </si>
  <si>
    <t>月亮（Moon）</t>
  </si>
  <si>
    <t>情感、荣誉、直觉、认可、浪漫、周期</t>
  </si>
  <si>
    <t>钥匙（Key）</t>
  </si>
  <si>
    <t>肯定、重要、成就、解决方案、必然、开启</t>
  </si>
  <si>
    <t>鱼（Fish）</t>
  </si>
  <si>
    <t>金钱、财富、商业、流动性、酒精、丰富</t>
  </si>
  <si>
    <t>锚（Anchor）</t>
  </si>
  <si>
    <t>稳定、安全、工作、坚持、目标、长期</t>
  </si>
  <si>
    <t>十字架（Cross）</t>
  </si>
  <si>
    <t>负担、命运、业力、痛苦、宗教、不可避免</t>
  </si>
  <si>
    <t>在</t>
    <phoneticPr fontId="2" type="noConversion"/>
  </si>
  <si>
    <t>以</t>
    <phoneticPr fontId="2" type="noConversion"/>
  </si>
  <si>
    <t>刚健、创造、领导、积极进取、自强不息</t>
  </si>
  <si>
    <t>顺从、承载、包容、柔顺厚德、地势坤</t>
  </si>
  <si>
    <t>初创艰难、万事开头难、积蓄力量、不轻举妄动</t>
  </si>
  <si>
    <r>
      <t>天天：乾为天</t>
    </r>
    <r>
      <rPr>
        <sz val="11"/>
        <color rgb="FF000000"/>
        <rFont val="Segoe UI Symbol"/>
        <family val="3"/>
        <charset val="1"/>
      </rPr>
      <t>䷀</t>
    </r>
    <phoneticPr fontId="2" type="noConversion"/>
  </si>
  <si>
    <r>
      <t xml:space="preserve">地地：坤为地 </t>
    </r>
    <r>
      <rPr>
        <sz val="11"/>
        <color rgb="FF000000"/>
        <rFont val="Segoe UI Symbol"/>
        <family val="3"/>
        <charset val="1"/>
      </rPr>
      <t>䷁</t>
    </r>
    <phoneticPr fontId="2" type="noConversion"/>
  </si>
  <si>
    <r>
      <t>水雷屯</t>
    </r>
    <r>
      <rPr>
        <sz val="11"/>
        <color rgb="FF000000"/>
        <rFont val="Segoe UI Symbol"/>
        <family val="3"/>
        <charset val="1"/>
      </rPr>
      <t>䷂</t>
    </r>
    <phoneticPr fontId="2" type="noConversion"/>
  </si>
  <si>
    <r>
      <t>山水蒙</t>
    </r>
    <r>
      <rPr>
        <sz val="11"/>
        <color rgb="FF000000"/>
        <rFont val="Segoe UI Symbol"/>
        <family val="3"/>
        <charset val="1"/>
      </rPr>
      <t>䷃</t>
    </r>
    <phoneticPr fontId="2" type="noConversion"/>
  </si>
  <si>
    <t>启蒙、教育、幼稚无知、需要指导、童蒙</t>
  </si>
  <si>
    <r>
      <t>水天需</t>
    </r>
    <r>
      <rPr>
        <sz val="11"/>
        <color rgb="FF000000"/>
        <rFont val="Segoe UI Symbol"/>
        <family val="3"/>
        <charset val="1"/>
      </rPr>
      <t>䷄</t>
    </r>
    <phoneticPr fontId="2" type="noConversion"/>
  </si>
  <si>
    <t>等待、需求、时机未到、耐心等候、饮食之需</t>
  </si>
  <si>
    <r>
      <t>天水讼</t>
    </r>
    <r>
      <rPr>
        <sz val="11"/>
        <color rgb="FF000000"/>
        <rFont val="Segoe UI Symbol"/>
        <family val="3"/>
        <charset val="1"/>
      </rPr>
      <t>䷅</t>
    </r>
    <phoneticPr fontId="2" type="noConversion"/>
  </si>
  <si>
    <t>争讼、纠纷、冲突、诉讼、不和</t>
  </si>
  <si>
    <r>
      <t>地水师</t>
    </r>
    <r>
      <rPr>
        <sz val="11"/>
        <color rgb="FF000000"/>
        <rFont val="Segoe UI Symbol"/>
        <family val="3"/>
        <charset val="1"/>
      </rPr>
      <t>䷆</t>
    </r>
    <phoneticPr fontId="2" type="noConversion"/>
  </si>
  <si>
    <t>军队、大众、纪律、领导群体、用兵</t>
  </si>
  <si>
    <r>
      <t>水地比</t>
    </r>
    <r>
      <rPr>
        <sz val="11"/>
        <color rgb="FF000000"/>
        <rFont val="Segoe UI Symbol"/>
        <family val="3"/>
        <charset val="1"/>
      </rPr>
      <t>䷇</t>
    </r>
    <phoneticPr fontId="2" type="noConversion"/>
  </si>
  <si>
    <t>亲近、辅佐、团结、比邻、亲密关系</t>
  </si>
  <si>
    <r>
      <t>风天小畜</t>
    </r>
    <r>
      <rPr>
        <sz val="11"/>
        <color rgb="FF000000"/>
        <rFont val="Segoe UI Symbol"/>
        <family val="3"/>
        <charset val="1"/>
      </rPr>
      <t>䷈</t>
    </r>
    <phoneticPr fontId="2" type="noConversion"/>
  </si>
  <si>
    <t>小有积蓄、暂时阻碍、蓄养待发、力量尚小</t>
  </si>
  <si>
    <r>
      <t>天泽履</t>
    </r>
    <r>
      <rPr>
        <sz val="11"/>
        <color rgb="FF000000"/>
        <rFont val="Segoe UI Symbol"/>
        <family val="3"/>
        <charset val="1"/>
      </rPr>
      <t>䷉</t>
    </r>
    <phoneticPr fontId="2" type="noConversion"/>
  </si>
  <si>
    <t>行走、践履、谨慎小心、如履薄冰、礼节</t>
  </si>
  <si>
    <r>
      <t>地天泰</t>
    </r>
    <r>
      <rPr>
        <sz val="11"/>
        <color rgb="FF000000"/>
        <rFont val="Segoe UI Symbol"/>
        <family val="3"/>
        <charset val="1"/>
      </rPr>
      <t>䷊</t>
    </r>
    <phoneticPr fontId="2" type="noConversion"/>
  </si>
  <si>
    <t>通泰、顺利、天地交泰、吉祥亨通、国泰民安</t>
  </si>
  <si>
    <r>
      <t>天地否</t>
    </r>
    <r>
      <rPr>
        <sz val="11"/>
        <color rgb="FF000000"/>
        <rFont val="Segoe UI Symbol"/>
        <family val="3"/>
        <charset val="1"/>
      </rPr>
      <t>䷋</t>
    </r>
    <phoneticPr fontId="2" type="noConversion"/>
  </si>
  <si>
    <t>闭塞、不通、天地不交、困顿、衰败</t>
  </si>
  <si>
    <t>乾宫卦：</t>
    <phoneticPr fontId="2" type="noConversion"/>
  </si>
  <si>
    <t>兑宫卦：</t>
    <phoneticPr fontId="2" type="noConversion"/>
  </si>
  <si>
    <t>离宫卦：</t>
    <phoneticPr fontId="2" type="noConversion"/>
  </si>
  <si>
    <r>
      <t>天火同人</t>
    </r>
    <r>
      <rPr>
        <sz val="11"/>
        <color rgb="FF000000"/>
        <rFont val="Segoe UI Symbol"/>
        <family val="3"/>
        <charset val="1"/>
      </rPr>
      <t>䷌</t>
    </r>
    <phoneticPr fontId="2" type="noConversion"/>
  </si>
  <si>
    <t>震宫卦：</t>
    <phoneticPr fontId="2" type="noConversion"/>
  </si>
  <si>
    <t>同心协力、团结、志同道合、公众事务</t>
  </si>
  <si>
    <t>巽宫卦：</t>
    <phoneticPr fontId="2" type="noConversion"/>
  </si>
  <si>
    <t>坎宫卦：</t>
    <phoneticPr fontId="2" type="noConversion"/>
  </si>
  <si>
    <t>坤宫卦：</t>
    <phoneticPr fontId="2" type="noConversion"/>
  </si>
  <si>
    <t>艮宫卦：</t>
    <phoneticPr fontId="2" type="noConversion"/>
  </si>
  <si>
    <r>
      <t>火天大有</t>
    </r>
    <r>
      <rPr>
        <sz val="11"/>
        <color rgb="FF000000"/>
        <rFont val="Segoe UI Symbol"/>
        <family val="3"/>
        <charset val="1"/>
      </rPr>
      <t>䷍</t>
    </r>
    <phoneticPr fontId="2" type="noConversion"/>
  </si>
  <si>
    <t>大丰收、富有、成功、拥有很多、盛大</t>
  </si>
  <si>
    <r>
      <t>地山谦</t>
    </r>
    <r>
      <rPr>
        <sz val="11"/>
        <color rgb="FF000000"/>
        <rFont val="Segoe UI Symbol"/>
        <family val="3"/>
        <charset val="1"/>
      </rPr>
      <t>䷎</t>
    </r>
    <phoneticPr fontId="2" type="noConversion"/>
  </si>
  <si>
    <t>谦虚、谦逊、低调、退让、美德</t>
    <phoneticPr fontId="2" type="noConversion"/>
  </si>
  <si>
    <r>
      <t>雷地豫</t>
    </r>
    <r>
      <rPr>
        <sz val="11"/>
        <color rgb="FF000000"/>
        <rFont val="Segoe UI Symbol"/>
        <family val="3"/>
        <charset val="1"/>
      </rPr>
      <t>䷏</t>
    </r>
    <phoneticPr fontId="2" type="noConversion"/>
  </si>
  <si>
    <t>愉悦、欢乐、安逸、预备、怠惰</t>
  </si>
  <si>
    <r>
      <t>泽雷随</t>
    </r>
    <r>
      <rPr>
        <sz val="11"/>
        <color rgb="FF000000"/>
        <rFont val="Segoe UI Symbol"/>
        <family val="3"/>
        <charset val="1"/>
      </rPr>
      <t>䷐</t>
    </r>
    <phoneticPr fontId="2" type="noConversion"/>
  </si>
  <si>
    <t>跟随、顺应、追随、灵活应变</t>
  </si>
  <si>
    <r>
      <t>山风蛊</t>
    </r>
    <r>
      <rPr>
        <sz val="11"/>
        <color rgb="FF000000"/>
        <rFont val="Segoe UI Symbol"/>
        <family val="3"/>
        <charset val="1"/>
      </rPr>
      <t>䷑</t>
    </r>
    <phoneticPr fontId="2" type="noConversion"/>
  </si>
  <si>
    <t>腐败、整顿、治理、弊病、革新</t>
  </si>
  <si>
    <r>
      <t>地泽临</t>
    </r>
    <r>
      <rPr>
        <sz val="11"/>
        <color rgb="FF000000"/>
        <rFont val="Segoe UI Symbol"/>
        <family val="3"/>
        <charset val="1"/>
      </rPr>
      <t>䷒</t>
    </r>
    <phoneticPr fontId="2" type="noConversion"/>
  </si>
  <si>
    <t>来临、监临、亲临、领导、接近</t>
  </si>
  <si>
    <r>
      <t>风地观</t>
    </r>
    <r>
      <rPr>
        <sz val="11"/>
        <color rgb="FF000000"/>
        <rFont val="Segoe UI Symbol"/>
        <family val="3"/>
        <charset val="1"/>
      </rPr>
      <t>䷓</t>
    </r>
    <phoneticPr fontId="2" type="noConversion"/>
  </si>
  <si>
    <t>观察、观看、示范、审视、瞻仰</t>
  </si>
  <si>
    <r>
      <t>火雷噬嗑</t>
    </r>
    <r>
      <rPr>
        <sz val="11"/>
        <color rgb="FF000000"/>
        <rFont val="Segoe UI Symbol"/>
        <family val="3"/>
        <charset val="1"/>
      </rPr>
      <t>䷔</t>
    </r>
    <phoneticPr fontId="2" type="noConversion"/>
  </si>
  <si>
    <t>咬合、诉讼、排除障碍、刑罚、突破</t>
  </si>
  <si>
    <r>
      <t>山火贲</t>
    </r>
    <r>
      <rPr>
        <sz val="11"/>
        <color rgb="FF000000"/>
        <rFont val="Segoe UI Symbol"/>
        <family val="3"/>
        <charset val="1"/>
      </rPr>
      <t>䷕</t>
    </r>
    <phoneticPr fontId="2" type="noConversion"/>
  </si>
  <si>
    <t>装饰、文饰、美化、外表、文化</t>
  </si>
  <si>
    <r>
      <t>山地剥</t>
    </r>
    <r>
      <rPr>
        <sz val="11"/>
        <color rgb="FF000000"/>
        <rFont val="Segoe UI Symbol"/>
        <family val="3"/>
        <charset val="1"/>
      </rPr>
      <t>䷖</t>
    </r>
    <phoneticPr fontId="2" type="noConversion"/>
  </si>
  <si>
    <t>剥落、衰败、损失、侵蚀、不利</t>
  </si>
  <si>
    <r>
      <t>地雷复</t>
    </r>
    <r>
      <rPr>
        <sz val="11"/>
        <color rgb="FF000000"/>
        <rFont val="Segoe UI Symbol"/>
        <family val="3"/>
        <charset val="1"/>
      </rPr>
      <t>䷗</t>
    </r>
    <phoneticPr fontId="2" type="noConversion"/>
  </si>
  <si>
    <t>复返、恢复、重来、反复、回归</t>
  </si>
  <si>
    <r>
      <t>天雷无妄</t>
    </r>
    <r>
      <rPr>
        <sz val="11"/>
        <color rgb="FF000000"/>
        <rFont val="Segoe UI Symbol"/>
        <family val="3"/>
        <charset val="1"/>
      </rPr>
      <t>䷘</t>
    </r>
    <phoneticPr fontId="2" type="noConversion"/>
  </si>
  <si>
    <t>无妄之灾、真实、不妄为、天灾、意外</t>
  </si>
  <si>
    <r>
      <t>山天大畜</t>
    </r>
    <r>
      <rPr>
        <sz val="11"/>
        <color theme="1"/>
        <rFont val="Segoe UI Symbol"/>
        <family val="2"/>
        <charset val="1"/>
      </rPr>
      <t>䷙</t>
    </r>
    <phoneticPr fontId="2" type="noConversion"/>
  </si>
  <si>
    <t>大积蓄、储备、止住、培养人才、抑制</t>
  </si>
  <si>
    <r>
      <t>山雷颐</t>
    </r>
    <r>
      <rPr>
        <sz val="11"/>
        <color rgb="FF000000"/>
        <rFont val="Segoe UI Symbol"/>
        <family val="3"/>
        <charset val="1"/>
      </rPr>
      <t>䷚</t>
    </r>
    <phoneticPr fontId="2" type="noConversion"/>
  </si>
  <si>
    <t>颐养、养生、饮食、供养、修养</t>
  </si>
  <si>
    <r>
      <t>泽风大过</t>
    </r>
    <r>
      <rPr>
        <sz val="11"/>
        <color rgb="FF000000"/>
        <rFont val="Segoe UI Symbol"/>
        <family val="3"/>
        <charset val="1"/>
      </rPr>
      <t>䷛</t>
    </r>
    <phoneticPr fontId="2" type="noConversion"/>
  </si>
  <si>
    <t>过度、极端、栋梁、负担过重、非常时期</t>
  </si>
  <si>
    <r>
      <t>水水：坎为水</t>
    </r>
    <r>
      <rPr>
        <sz val="11"/>
        <color rgb="FF000000"/>
        <rFont val="Segoe UI Symbol"/>
        <family val="3"/>
        <charset val="1"/>
      </rPr>
      <t>䷜</t>
    </r>
    <phoneticPr fontId="2" type="noConversion"/>
  </si>
  <si>
    <t>险陷、困难、陷阱、危险、水灾</t>
  </si>
  <si>
    <r>
      <t>火火：离为火</t>
    </r>
    <r>
      <rPr>
        <sz val="11"/>
        <color rgb="FF000000"/>
        <rFont val="Segoe UI Symbol"/>
        <family val="3"/>
        <charset val="1"/>
      </rPr>
      <t>䷝</t>
    </r>
    <phoneticPr fontId="2" type="noConversion"/>
  </si>
  <si>
    <t>附丽、光明、依附、文明、美丽</t>
  </si>
  <si>
    <r>
      <t>泽山咸</t>
    </r>
    <r>
      <rPr>
        <sz val="11"/>
        <color rgb="FF000000"/>
        <rFont val="Segoe UI Symbol"/>
        <family val="3"/>
        <charset val="1"/>
      </rPr>
      <t>䷞</t>
    </r>
    <phoneticPr fontId="2" type="noConversion"/>
  </si>
  <si>
    <t>感应、感情、交感、男女、全部</t>
  </si>
  <si>
    <r>
      <t>雷风恒</t>
    </r>
    <r>
      <rPr>
        <sz val="11"/>
        <color rgb="FF000000"/>
        <rFont val="Segoe UI Symbol"/>
        <family val="3"/>
        <charset val="1"/>
      </rPr>
      <t>䷟</t>
    </r>
    <phoneticPr fontId="2" type="noConversion"/>
  </si>
  <si>
    <t>恒久、持久、坚持、长久、稳定</t>
  </si>
  <si>
    <r>
      <t>天山遁</t>
    </r>
    <r>
      <rPr>
        <sz val="11"/>
        <color rgb="FF000000"/>
        <rFont val="Segoe UI Symbol"/>
        <family val="3"/>
        <charset val="1"/>
      </rPr>
      <t>䷠</t>
    </r>
    <phoneticPr fontId="2" type="noConversion"/>
  </si>
  <si>
    <t>退避、隐遁、逃避、退让、隐居</t>
  </si>
  <si>
    <r>
      <t>雷天大壮</t>
    </r>
    <r>
      <rPr>
        <sz val="11"/>
        <color rgb="FF000000"/>
        <rFont val="Segoe UI Symbol"/>
        <family val="3"/>
        <charset val="1"/>
      </rPr>
      <t>䷡</t>
    </r>
    <phoneticPr fontId="2" type="noConversion"/>
  </si>
  <si>
    <t>强壮、强大、盛大、刚强、勇猛</t>
  </si>
  <si>
    <r>
      <t>火地晋</t>
    </r>
    <r>
      <rPr>
        <sz val="11"/>
        <color rgb="FF000000"/>
        <rFont val="Segoe UI Symbol"/>
        <family val="3"/>
        <charset val="1"/>
      </rPr>
      <t>䷢</t>
    </r>
    <phoneticPr fontId="2" type="noConversion"/>
  </si>
  <si>
    <t>前进、晋升、光明、上进、发展</t>
  </si>
  <si>
    <r>
      <t>地火明夷</t>
    </r>
    <r>
      <rPr>
        <sz val="11"/>
        <color rgb="FF000000"/>
        <rFont val="Segoe UI Symbol"/>
        <family val="3"/>
        <charset val="1"/>
      </rPr>
      <t>䷣</t>
    </r>
    <phoneticPr fontId="2" type="noConversion"/>
  </si>
  <si>
    <t>光明受伤、艰难、隐晦、受伤、韬光养晦</t>
  </si>
  <si>
    <r>
      <t>风火家人</t>
    </r>
    <r>
      <rPr>
        <sz val="11"/>
        <color rgb="FF000000"/>
        <rFont val="Segoe UI Symbol"/>
        <family val="3"/>
        <charset val="1"/>
      </rPr>
      <t>䷤</t>
    </r>
    <phoneticPr fontId="2" type="noConversion"/>
  </si>
  <si>
    <t>家庭、家族、齐家、内部、亲人</t>
    <phoneticPr fontId="2" type="noConversion"/>
  </si>
  <si>
    <r>
      <t>火泽睽</t>
    </r>
    <r>
      <rPr>
        <sz val="11"/>
        <color rgb="FF000000"/>
        <rFont val="Segoe UI Symbol"/>
        <family val="3"/>
        <charset val="1"/>
      </rPr>
      <t>䷥</t>
    </r>
    <phoneticPr fontId="2" type="noConversion"/>
  </si>
  <si>
    <t>乖离、分离、矛盾、冲突、对立</t>
  </si>
  <si>
    <r>
      <t>水山蹇</t>
    </r>
    <r>
      <rPr>
        <sz val="11"/>
        <color rgb="FF000000"/>
        <rFont val="Segoe UI Symbol"/>
        <family val="3"/>
        <charset val="1"/>
      </rPr>
      <t>䷦</t>
    </r>
    <phoneticPr fontId="2" type="noConversion"/>
  </si>
  <si>
    <t>艰难、跛足、困难、停滞、寸步难行</t>
  </si>
  <si>
    <r>
      <t>雷水解</t>
    </r>
    <r>
      <rPr>
        <sz val="11"/>
        <color rgb="FF000000"/>
        <rFont val="Segoe UI Symbol"/>
        <family val="3"/>
        <charset val="1"/>
      </rPr>
      <t>䷧</t>
    </r>
    <phoneticPr fontId="2" type="noConversion"/>
  </si>
  <si>
    <t>解除、解脱、化解、松绑、宽恕</t>
  </si>
  <si>
    <r>
      <t>山泽损</t>
    </r>
    <r>
      <rPr>
        <sz val="11"/>
        <color rgb="FF000000"/>
        <rFont val="Segoe UI Symbol"/>
        <family val="3"/>
        <charset val="1"/>
      </rPr>
      <t>䷨</t>
    </r>
    <phoneticPr fontId="2" type="noConversion"/>
  </si>
  <si>
    <t>减损、损失、节制、牺牲、减少</t>
  </si>
  <si>
    <r>
      <t>风雷益</t>
    </r>
    <r>
      <rPr>
        <sz val="11"/>
        <color rgb="FF000000"/>
        <rFont val="Segoe UI Symbol"/>
        <family val="3"/>
        <charset val="1"/>
      </rPr>
      <t>䷩</t>
    </r>
    <phoneticPr fontId="2" type="noConversion"/>
  </si>
  <si>
    <t>增益、利益、获得、帮助、成长</t>
  </si>
  <si>
    <r>
      <t>泽天夬</t>
    </r>
    <r>
      <rPr>
        <sz val="11"/>
        <color rgb="FF000000"/>
        <rFont val="Segoe UI Symbol"/>
        <family val="3"/>
        <charset val="1"/>
      </rPr>
      <t>䷪</t>
    </r>
    <phoneticPr fontId="2" type="noConversion"/>
  </si>
  <si>
    <t>决断、果决、决裂、切除、爆发</t>
  </si>
  <si>
    <t>相遇、邂逅、阴遇阳、女壮、偶遇</t>
  </si>
  <si>
    <r>
      <t>泽地萃</t>
    </r>
    <r>
      <rPr>
        <sz val="11"/>
        <color rgb="FF000000"/>
        <rFont val="Segoe UI Symbol"/>
        <family val="3"/>
        <charset val="1"/>
      </rPr>
      <t>䷬</t>
    </r>
    <phoneticPr fontId="2" type="noConversion"/>
  </si>
  <si>
    <t>聚集、汇聚、聚会、团聚、荟萃</t>
  </si>
  <si>
    <r>
      <t>地风升</t>
    </r>
    <r>
      <rPr>
        <sz val="11"/>
        <color rgb="FF000000"/>
        <rFont val="Segoe UI Symbol"/>
        <family val="3"/>
        <charset val="1"/>
      </rPr>
      <t>䷭</t>
    </r>
    <phoneticPr fontId="2" type="noConversion"/>
  </si>
  <si>
    <t>上升、晋升、成长、提升、向上</t>
  </si>
  <si>
    <r>
      <t>泽水困</t>
    </r>
    <r>
      <rPr>
        <sz val="11"/>
        <color rgb="FF000000"/>
        <rFont val="Segoe UI Symbol"/>
        <family val="3"/>
        <charset val="1"/>
      </rPr>
      <t>䷮</t>
    </r>
    <phoneticPr fontId="2" type="noConversion"/>
  </si>
  <si>
    <t>困窘、困境、穷困、受困、艰难</t>
  </si>
  <si>
    <r>
      <t>水风井</t>
    </r>
    <r>
      <rPr>
        <sz val="11"/>
        <color rgb="FF000000"/>
        <rFont val="Segoe UI Symbol"/>
        <family val="3"/>
        <charset val="1"/>
      </rPr>
      <t>䷯</t>
    </r>
    <phoneticPr fontId="2" type="noConversion"/>
  </si>
  <si>
    <t>水井、资源、养育、不变、供给</t>
  </si>
  <si>
    <r>
      <t>泽火革</t>
    </r>
    <r>
      <rPr>
        <sz val="11"/>
        <color rgb="FF000000"/>
        <rFont val="Segoe UI Symbol"/>
        <family val="3"/>
        <charset val="1"/>
      </rPr>
      <t>䷰</t>
    </r>
    <phoneticPr fontId="2" type="noConversion"/>
  </si>
  <si>
    <t>变革、革命、改变、更新、除旧布新</t>
  </si>
  <si>
    <r>
      <t>火风鼎</t>
    </r>
    <r>
      <rPr>
        <sz val="11"/>
        <color rgb="FF000000"/>
        <rFont val="Segoe UI Symbol"/>
        <family val="3"/>
        <charset val="1"/>
      </rPr>
      <t>䷱</t>
    </r>
    <phoneticPr fontId="2" type="noConversion"/>
  </si>
  <si>
    <t>鼎器、稳固、烹饪、正位、养贤</t>
  </si>
  <si>
    <r>
      <t>雷雷：震为雷</t>
    </r>
    <r>
      <rPr>
        <sz val="11"/>
        <color rgb="FF000000"/>
        <rFont val="Segoe UI Symbol"/>
        <family val="3"/>
        <charset val="1"/>
      </rPr>
      <t>䷲</t>
    </r>
    <phoneticPr fontId="2" type="noConversion"/>
  </si>
  <si>
    <t>震动、惊恐、雷、动、恐惧后亨通</t>
  </si>
  <si>
    <r>
      <t>山山：艮为山</t>
    </r>
    <r>
      <rPr>
        <sz val="11"/>
        <color rgb="FF000000"/>
        <rFont val="Segoe UI Symbol"/>
        <family val="3"/>
        <charset val="1"/>
      </rPr>
      <t>䷳</t>
    </r>
    <phoneticPr fontId="2" type="noConversion"/>
  </si>
  <si>
    <t>止、静止、停止、山、审慎</t>
  </si>
  <si>
    <r>
      <t>风山渐</t>
    </r>
    <r>
      <rPr>
        <sz val="11"/>
        <color theme="1"/>
        <rFont val="Segoe UI Symbol"/>
        <family val="2"/>
        <charset val="1"/>
      </rPr>
      <t>䷴</t>
    </r>
    <phoneticPr fontId="2" type="noConversion"/>
  </si>
  <si>
    <t>渐进、循序渐进、女归、缓慢前进</t>
  </si>
  <si>
    <r>
      <t>雷泽归妹</t>
    </r>
    <r>
      <rPr>
        <sz val="11"/>
        <color rgb="FF000000"/>
        <rFont val="Segoe UI Symbol"/>
        <family val="3"/>
        <charset val="1"/>
      </rPr>
      <t>䷵</t>
    </r>
    <phoneticPr fontId="2" type="noConversion"/>
  </si>
  <si>
    <t>出嫁、婚姻、少女、归、不正当</t>
  </si>
  <si>
    <r>
      <t>雷火丰</t>
    </r>
    <r>
      <rPr>
        <sz val="11"/>
        <color rgb="FF000000"/>
        <rFont val="Segoe UI Symbol"/>
        <family val="3"/>
        <charset val="1"/>
      </rPr>
      <t>䷶</t>
    </r>
    <phoneticPr fontId="2" type="noConversion"/>
  </si>
  <si>
    <t>丰盛、丰满、繁荣、巅峰、盛大</t>
  </si>
  <si>
    <r>
      <t>火山旅</t>
    </r>
    <r>
      <rPr>
        <sz val="11"/>
        <color rgb="FF000000"/>
        <rFont val="Segoe UI Symbol"/>
        <family val="3"/>
        <charset val="1"/>
      </rPr>
      <t>䷷</t>
    </r>
    <phoneticPr fontId="2" type="noConversion"/>
  </si>
  <si>
    <t>旅行、客居、流浪、旅途、不安定</t>
  </si>
  <si>
    <r>
      <t>风风：巽为风</t>
    </r>
    <r>
      <rPr>
        <sz val="11"/>
        <color rgb="FF000000"/>
        <rFont val="Segoe UI Symbol"/>
        <family val="3"/>
        <charset val="1"/>
      </rPr>
      <t>䷸</t>
    </r>
    <phoneticPr fontId="2" type="noConversion"/>
  </si>
  <si>
    <t>顺从、渗透、风、谦逊、入</t>
  </si>
  <si>
    <r>
      <t>泽泽：兑为泽</t>
    </r>
    <r>
      <rPr>
        <sz val="11"/>
        <color rgb="FF000000"/>
        <rFont val="Segoe UI Symbol"/>
        <family val="3"/>
        <charset val="1"/>
      </rPr>
      <t>䷹</t>
    </r>
    <phoneticPr fontId="2" type="noConversion"/>
  </si>
  <si>
    <t>喜悦、愉快、口舌、说话、交流</t>
    <phoneticPr fontId="2" type="noConversion"/>
  </si>
  <si>
    <r>
      <t>风水涣</t>
    </r>
    <r>
      <rPr>
        <sz val="11"/>
        <color rgb="FF000000"/>
        <rFont val="Segoe UI Symbol"/>
        <family val="3"/>
        <charset val="1"/>
      </rPr>
      <t>䷺</t>
    </r>
    <phoneticPr fontId="2" type="noConversion"/>
  </si>
  <si>
    <t>涣散、分散、离散、消散、解散</t>
  </si>
  <si>
    <r>
      <t>水泽节</t>
    </r>
    <r>
      <rPr>
        <sz val="11"/>
        <color rgb="FF000000"/>
        <rFont val="Segoe UI Symbol"/>
        <family val="3"/>
        <charset val="1"/>
      </rPr>
      <t>䷻</t>
    </r>
    <phoneticPr fontId="2" type="noConversion"/>
  </si>
  <si>
    <t>节制、节度、限制、节俭、法度</t>
  </si>
  <si>
    <r>
      <t>风泽中孚</t>
    </r>
    <r>
      <rPr>
        <sz val="11"/>
        <color rgb="FF000000"/>
        <rFont val="Segoe UI Symbol"/>
        <family val="3"/>
        <charset val="1"/>
      </rPr>
      <t>䷼</t>
    </r>
    <phoneticPr fontId="2" type="noConversion"/>
  </si>
  <si>
    <t>诚信、真诚、信任、诚心、感化</t>
  </si>
  <si>
    <r>
      <t>雷山小过</t>
    </r>
    <r>
      <rPr>
        <sz val="11"/>
        <color rgb="FF000000"/>
        <rFont val="Segoe UI Symbol"/>
        <family val="3"/>
        <charset val="1"/>
      </rPr>
      <t>䷽</t>
    </r>
    <phoneticPr fontId="2" type="noConversion"/>
  </si>
  <si>
    <t>小过失、谨慎、小事可为、过分、微过</t>
  </si>
  <si>
    <r>
      <t>水火既济</t>
    </r>
    <r>
      <rPr>
        <sz val="11"/>
        <color rgb="FF000000"/>
        <rFont val="Segoe UI Symbol"/>
        <family val="3"/>
        <charset val="1"/>
      </rPr>
      <t>䷾</t>
    </r>
    <phoneticPr fontId="2" type="noConversion"/>
  </si>
  <si>
    <t>已完成、成功、完美、结束、保持</t>
  </si>
  <si>
    <r>
      <t>火水未济</t>
    </r>
    <r>
      <rPr>
        <sz val="11"/>
        <color rgb="FF000000"/>
        <rFont val="Segoe UI Symbol"/>
        <family val="3"/>
        <charset val="1"/>
      </rPr>
      <t>䷿</t>
    </r>
    <phoneticPr fontId="2" type="noConversion"/>
  </si>
  <si>
    <t>未完成、进行中、变化、新开始、谨慎</t>
  </si>
  <si>
    <t>变卦</t>
    <phoneticPr fontId="2" type="noConversion"/>
  </si>
  <si>
    <t>互卦</t>
    <phoneticPr fontId="2" type="noConversion"/>
  </si>
  <si>
    <t>综卦</t>
    <phoneticPr fontId="2" type="noConversion"/>
  </si>
  <si>
    <t>的领域</t>
    <phoneticPr fontId="2" type="noConversion"/>
  </si>
  <si>
    <t>的方式</t>
    <phoneticPr fontId="2" type="noConversion"/>
  </si>
  <si>
    <t>的能量</t>
    <phoneticPr fontId="2" type="noConversion"/>
  </si>
  <si>
    <t>做什么</t>
  </si>
  <si>
    <t>怎么做</t>
  </si>
  <si>
    <t>在哪里做</t>
  </si>
  <si>
    <t>发挥</t>
    <phoneticPr fontId="2" type="noConversion"/>
  </si>
  <si>
    <t>YES</t>
    <phoneticPr fontId="2" type="noConversion"/>
  </si>
  <si>
    <t>OR</t>
    <phoneticPr fontId="2" type="noConversion"/>
  </si>
  <si>
    <t>NO</t>
    <phoneticPr fontId="2" type="noConversion"/>
  </si>
  <si>
    <t>不怕，试试呗，跳就跳了</t>
  </si>
  <si>
    <t>这是种无惧尝试的新开始</t>
  </si>
  <si>
    <t>我有资源我有脑子，我能搞定</t>
  </si>
  <si>
    <t>他是那种一上场就能操作的人有自信</t>
  </si>
  <si>
    <t>你放心，有我撑着呢</t>
  </si>
  <si>
    <t>是那种有爱又有资源的靠山</t>
  </si>
  <si>
    <t>我说行就行，一锤定音的感觉!</t>
  </si>
  <si>
    <t>权威、有执行力，靠谱</t>
  </si>
  <si>
    <t>目标明确，冲就是了</t>
  </si>
  <si>
    <t>驾驭局面的冲劲</t>
  </si>
  <si>
    <t>你做得对，这事能成，讲的是公平</t>
  </si>
  <si>
    <t>合理，像得到了宇宙的认证</t>
  </si>
  <si>
    <t>希望还在，梦想在前面</t>
  </si>
  <si>
    <t>像黑夜中看到星光，是很治愈的YES</t>
  </si>
  <si>
    <t>别说了，就是好事!</t>
  </si>
  <si>
    <t>最阳光的牌，直接代表喜悦和成功</t>
  </si>
  <si>
    <t>你完成啦，圆满收官</t>
  </si>
  <si>
    <t>完美结局的代言人</t>
    <phoneticPr fontId="2" type="noConversion"/>
  </si>
  <si>
    <t>听长辈的?还是听你心里的?</t>
  </si>
  <si>
    <t>有种外界规矩vs自我选择的对立感</t>
  </si>
  <si>
    <t>你到底选谁啊?是标准的“选择”卡</t>
  </si>
  <si>
    <t>不是 YES也不是 NO</t>
    <phoneticPr fontId="2" type="noConversion"/>
  </si>
  <si>
    <t>你得靠直觉，看你能不能懂港台词</t>
  </si>
  <si>
    <t>一切都藏在水面下</t>
    <phoneticPr fontId="2" type="noConversion"/>
  </si>
  <si>
    <t>现在轮到你好运了吗?还不一定。</t>
  </si>
  <si>
    <t>外部变化太大，你控制不了</t>
  </si>
  <si>
    <t>你现在在迷雾里，看不清。容易被骗</t>
    <phoneticPr fontId="2" type="noConversion"/>
  </si>
  <si>
    <t>误判，答案模糊不清</t>
  </si>
  <si>
    <t>你有没有真的觉醒?</t>
  </si>
  <si>
    <t>有没有准备好面对结果?属于命运的呼唤，但不一定是YES</t>
    <phoneticPr fontId="2" type="noConversion"/>
  </si>
  <si>
    <t>别急，现在是你自己想清楚的时候</t>
  </si>
  <si>
    <t>孤独的灯火，不适合行动</t>
  </si>
  <si>
    <t>轰的一下，一切垮掉</t>
  </si>
  <si>
    <t>大地震，天翻地覆，不适合推进</t>
  </si>
  <si>
    <t>旧的必须死，新的还没生</t>
    <phoneticPr fontId="2" type="noConversion"/>
  </si>
  <si>
    <t>不是继续搞事情的时候</t>
  </si>
  <si>
    <t>你现在不是自由的，是被控制的</t>
  </si>
  <si>
    <t>充满执念、毒关系的象征</t>
  </si>
  <si>
    <t>这事你憋着呢，没放开</t>
  </si>
  <si>
    <t>好像你能量都用来忍耐了，没空去做别的</t>
    <phoneticPr fontId="2" type="noConversion"/>
  </si>
  <si>
    <t>得缓缓，别急。像调酒一样</t>
  </si>
  <si>
    <t>慢慢来，现在还不到结果的时候</t>
  </si>
  <si>
    <t>现在就是个等。没得选</t>
  </si>
  <si>
    <t>只能等，牺牲一时换个角度</t>
  </si>
  <si>
    <t>权杖1</t>
    <phoneticPr fontId="2" type="noConversion"/>
  </si>
  <si>
    <t>ᚠ Fehu（财富）</t>
  </si>
  <si>
    <t>ᚢ Uruz（野牛）</t>
  </si>
  <si>
    <t>财富、金钱、资源、流动的财产、成功、丰盛</t>
  </si>
  <si>
    <t>力量、健康、原始能量、耐力、野性、治愈</t>
  </si>
  <si>
    <t>ᚦ Thurisaz（巨人/荆棘）</t>
  </si>
  <si>
    <t>保护、防御、冲突、突破、界限、雷神索尔</t>
  </si>
  <si>
    <t>ᚨ Ansuz（神祇）</t>
  </si>
  <si>
    <t>沟通、智慧、神谕、信息、奥丁、灵感</t>
  </si>
  <si>
    <t>ᚱ Raidho（旅程）</t>
  </si>
  <si>
    <t>旅行、道路、进程、节奏、移动、人生旅途</t>
  </si>
  <si>
    <t>ᚲ Kenaz（火炬）</t>
  </si>
  <si>
    <t>知识、创造、光明、技能、启示、转化</t>
  </si>
  <si>
    <t>ᚷ Gebo（礼物）</t>
  </si>
  <si>
    <t>交换、伙伴关系、平衡、给予、契约、互惠</t>
  </si>
  <si>
    <t>ᚹ Wunjo（喜悦）</t>
  </si>
  <si>
    <t>快乐、和谐、满足、成功、幸福、团体</t>
  </si>
  <si>
    <t>ᚺ Hagalaz（冰雹）</t>
  </si>
  <si>
    <t>弗雷尔之组</t>
    <phoneticPr fontId="2" type="noConversion"/>
  </si>
  <si>
    <t>Freyr's Aett</t>
    <phoneticPr fontId="2" type="noConversion"/>
  </si>
  <si>
    <t>海姆达尔之组</t>
    <phoneticPr fontId="2" type="noConversion"/>
  </si>
  <si>
    <t>Heimdall's Aett</t>
    <phoneticPr fontId="2" type="noConversion"/>
  </si>
  <si>
    <t>破坏、混乱、自然力量、危机、清理、不可控</t>
  </si>
  <si>
    <t>ᚾ Nauthiz（需求）</t>
  </si>
  <si>
    <t>需要、匮乏、限制、考验、耐心、必要性</t>
  </si>
  <si>
    <t>ᛁ Isa（冰）</t>
  </si>
  <si>
    <t>停滞、冻结、等待、静止、专注、挑战</t>
  </si>
  <si>
    <t>ᛃ Jera（收获/年）</t>
  </si>
  <si>
    <t>循环、收获、时机、耐心、季节、回报</t>
  </si>
  <si>
    <t>ᛇ Eihwaz（紫杉树）</t>
  </si>
  <si>
    <t>防御、死亡与重生、转化、耐力、连接、守护</t>
  </si>
  <si>
    <t>ᛈ Perthro（命运之杯）</t>
  </si>
  <si>
    <t>秘密、神秘、机会、命运、隐藏的知识、偶然</t>
  </si>
  <si>
    <t>ᛉ Algiz（麋鹿/保护）</t>
  </si>
  <si>
    <t>保护、防御、神圣连接、灵性、警觉、庇护</t>
  </si>
  <si>
    <t>ᛊ Sowilo（太阳）</t>
  </si>
  <si>
    <t>成功、胜利、能量、生命力、指引、清晰</t>
  </si>
  <si>
    <t>提尔之组</t>
    <phoneticPr fontId="2" type="noConversion"/>
  </si>
  <si>
    <t>Tyr's Aett</t>
    <phoneticPr fontId="2" type="noConversion"/>
  </si>
  <si>
    <t>ᛏ Tiwaz（战神提尔）</t>
  </si>
  <si>
    <t>正义、荣誉、领导、牺牲、胜利、法律</t>
  </si>
  <si>
    <t>ᛒ Berkano（桦树）</t>
  </si>
  <si>
    <t>新生、成长、养育、女性能量、家庭、重生</t>
  </si>
  <si>
    <t>ᛖ Ehwaz（马）</t>
  </si>
  <si>
    <t>伙伴关系、运动、进展、信任、和谐、交通</t>
  </si>
  <si>
    <t>ᛗ Mannaz（人类）</t>
  </si>
  <si>
    <t>自我、人性、社会、智慧、合作、人际关系</t>
  </si>
  <si>
    <t>ᛚ Laguz（水/湖）</t>
  </si>
  <si>
    <t>情感、直觉、流动、潜意识、梦境、灵性</t>
  </si>
  <si>
    <t>ᛜ Ingwaz（生育之神）</t>
  </si>
  <si>
    <t>完成、新开始、内在成长、潜力、孕育、转折</t>
  </si>
  <si>
    <t>ᛞ Dagaz（白昼）</t>
  </si>
  <si>
    <t>觉醒、突破、转化、希望、平衡、新视野</t>
  </si>
  <si>
    <t>ᛟ Othala（祖业）</t>
  </si>
  <si>
    <t>遗产、家族、根源、传统、财产、归属</t>
  </si>
  <si>
    <t>Wyrd（空白符文）</t>
  </si>
  <si>
    <t>命运、未知、宇宙意志、无法预知的</t>
  </si>
  <si>
    <t>财务损失、贪婪、浪费、物质执着、财富流失</t>
  </si>
  <si>
    <t>虚弱、疾病、错失机会、力量滥用、健康问题</t>
  </si>
  <si>
    <t>脆弱、防御失效、鲁莽、伤害自己、盲目冲动</t>
  </si>
  <si>
    <t>误解、沟通障碍、谎言、被误导、缺乏智慧</t>
  </si>
  <si>
    <t>延迟、旅行取消、迷失方向、停滞、计划受阻</t>
  </si>
  <si>
    <t>无知、黑暗、技能丧失、创造力枯竭、疾病</t>
  </si>
  <si>
    <t>悲伤、不和、痛苦、失望、人际冲突</t>
  </si>
  <si>
    <r>
      <rPr>
        <sz val="11"/>
        <color theme="1"/>
        <rFont val="等线"/>
        <family val="3"/>
        <charset val="134"/>
        <scheme val="minor"/>
      </rPr>
      <t>ᚠ Fehu（财富）逆位</t>
    </r>
    <phoneticPr fontId="2" type="noConversion"/>
  </si>
  <si>
    <r>
      <rPr>
        <sz val="11"/>
        <color theme="1"/>
        <rFont val="等线"/>
        <family val="3"/>
        <charset val="134"/>
        <scheme val="minor"/>
      </rPr>
      <t>ᚢ Uruz（野牛）逆位</t>
    </r>
    <phoneticPr fontId="2" type="noConversion"/>
  </si>
  <si>
    <r>
      <rPr>
        <sz val="11"/>
        <color theme="1"/>
        <rFont val="等线"/>
        <family val="3"/>
        <charset val="134"/>
        <scheme val="minor"/>
      </rPr>
      <t>ᚦ Thurisaz（巨人/荆棘）逆位</t>
    </r>
    <phoneticPr fontId="2" type="noConversion"/>
  </si>
  <si>
    <r>
      <rPr>
        <sz val="11"/>
        <color theme="1"/>
        <rFont val="等线"/>
        <family val="3"/>
        <charset val="134"/>
        <scheme val="minor"/>
      </rPr>
      <t>ᚨ Ansuz（神祇）逆位</t>
    </r>
    <phoneticPr fontId="2" type="noConversion"/>
  </si>
  <si>
    <r>
      <rPr>
        <sz val="11"/>
        <color theme="1"/>
        <rFont val="等线"/>
        <family val="3"/>
        <charset val="134"/>
        <scheme val="minor"/>
      </rPr>
      <t>ᚱ Raidho（旅程）逆位</t>
    </r>
    <phoneticPr fontId="2" type="noConversion"/>
  </si>
  <si>
    <r>
      <rPr>
        <sz val="11"/>
        <color theme="1"/>
        <rFont val="等线"/>
        <family val="3"/>
        <charset val="134"/>
        <scheme val="minor"/>
      </rPr>
      <t>ᚲ Kenaz（火炬）逆位</t>
    </r>
    <phoneticPr fontId="2" type="noConversion"/>
  </si>
  <si>
    <r>
      <rPr>
        <sz val="11"/>
        <color theme="1"/>
        <rFont val="等线"/>
        <family val="3"/>
        <charset val="134"/>
        <scheme val="minor"/>
      </rPr>
      <t>ᚹ Wunjo（喜悦）逆位</t>
    </r>
    <phoneticPr fontId="2" type="noConversion"/>
  </si>
  <si>
    <r>
      <rPr>
        <sz val="11"/>
        <color theme="1"/>
        <rFont val="等线"/>
        <family val="3"/>
        <charset val="134"/>
        <scheme val="minor"/>
      </rPr>
      <t>ᛈ Perthro（命运之杯）逆位</t>
    </r>
    <phoneticPr fontId="2" type="noConversion"/>
  </si>
  <si>
    <r>
      <rPr>
        <sz val="11"/>
        <color theme="1"/>
        <rFont val="等线"/>
        <family val="3"/>
        <charset val="134"/>
        <scheme val="minor"/>
      </rPr>
      <t>ᛉ Algiz（麋鹿/保护）逆位</t>
    </r>
    <phoneticPr fontId="2" type="noConversion"/>
  </si>
  <si>
    <r>
      <rPr>
        <sz val="11"/>
        <color theme="1"/>
        <rFont val="等线"/>
        <family val="3"/>
        <charset val="134"/>
        <scheme val="minor"/>
      </rPr>
      <t>ᛏ Tiwaz（战神提尔）逆位</t>
    </r>
    <phoneticPr fontId="2" type="noConversion"/>
  </si>
  <si>
    <r>
      <rPr>
        <sz val="11"/>
        <color theme="1"/>
        <rFont val="等线"/>
        <family val="3"/>
        <charset val="134"/>
        <scheme val="minor"/>
      </rPr>
      <t>ᛒ Berkano（桦树）逆位</t>
    </r>
    <phoneticPr fontId="2" type="noConversion"/>
  </si>
  <si>
    <r>
      <rPr>
        <sz val="11"/>
        <color theme="1"/>
        <rFont val="等线"/>
        <family val="3"/>
        <charset val="134"/>
        <scheme val="minor"/>
      </rPr>
      <t>ᛖ Ehwaz（马）逆位</t>
    </r>
    <phoneticPr fontId="2" type="noConversion"/>
  </si>
  <si>
    <r>
      <rPr>
        <sz val="11"/>
        <color theme="1"/>
        <rFont val="等线"/>
        <family val="3"/>
        <charset val="134"/>
        <scheme val="minor"/>
      </rPr>
      <t>ᛗ Mannaz（人类）逆位</t>
    </r>
    <phoneticPr fontId="2" type="noConversion"/>
  </si>
  <si>
    <r>
      <rPr>
        <sz val="11"/>
        <color theme="1"/>
        <rFont val="等线"/>
        <family val="3"/>
        <charset val="134"/>
        <scheme val="minor"/>
      </rPr>
      <t>ᛚ Laguz（水/湖）逆位</t>
    </r>
    <phoneticPr fontId="2" type="noConversion"/>
  </si>
  <si>
    <r>
      <rPr>
        <sz val="11"/>
        <color theme="1"/>
        <rFont val="等线"/>
        <family val="3"/>
        <charset val="134"/>
        <scheme val="minor"/>
      </rPr>
      <t>ᛟ Othala（祖业）逆位</t>
    </r>
    <phoneticPr fontId="2" type="noConversion"/>
  </si>
  <si>
    <t>易受伤害、缺乏保护、警觉不足、开放过度</t>
    <phoneticPr fontId="2" type="noConversion"/>
  </si>
  <si>
    <t>秘密揭露、不愉快的惊喜、成瘾、失去控制</t>
    <phoneticPr fontId="2" type="noConversion"/>
  </si>
  <si>
    <t>不公正、失败、缺乏动力、不诚实、精力耗尽</t>
    <phoneticPr fontId="2" type="noConversion"/>
  </si>
  <si>
    <t>家庭问题、成长受阻、焦虑、养育不足、停滞</t>
    <phoneticPr fontId="2" type="noConversion"/>
  </si>
  <si>
    <t>关系破裂、不信任、进展缓慢、背叛、分离</t>
    <phoneticPr fontId="2" type="noConversion"/>
  </si>
  <si>
    <t>孤立、自私、社交困难、敌人、缺乏支持</t>
    <phoneticPr fontId="2" type="noConversion"/>
  </si>
  <si>
    <t>情感混乱、直觉错误、自我欺骗、上瘾、恐惧</t>
    <phoneticPr fontId="2" type="noConversion"/>
  </si>
  <si>
    <t>失去遗产、无根、保守顽固、家族负担、不归属</t>
    <phoneticPr fontId="2" type="noConversion"/>
  </si>
  <si>
    <t>灵体（Spirit）</t>
    <phoneticPr fontId="2" type="noConversion"/>
  </si>
  <si>
    <t>业力、命运、精神、本质、人工智能、无形的能量</t>
    <phoneticPr fontId="2" type="noConversion"/>
  </si>
  <si>
    <t>香炉（Thurible）</t>
    <phoneticPr fontId="2" type="noConversion"/>
  </si>
  <si>
    <t>清理、沉浸、熏香、净化、显化、氛围感</t>
    <phoneticPr fontId="2" type="noConversion"/>
  </si>
  <si>
    <t>床（Bed）</t>
    <phoneticPr fontId="2" type="noConversion"/>
  </si>
  <si>
    <t>放松、休息、舒适、倦怠、躺平、性</t>
    <phoneticPr fontId="2" type="noConversion"/>
  </si>
  <si>
    <t>市场（Market）</t>
    <phoneticPr fontId="2" type="noConversion"/>
  </si>
  <si>
    <t>交易、工作、销售、商品流通</t>
    <phoneticPr fontId="2" type="noConversion"/>
  </si>
  <si>
    <t>火（Fire）</t>
    <phoneticPr fontId="2" type="noConversion"/>
  </si>
  <si>
    <t>温暖、活力、能量、热情、光明、内驱力</t>
    <phoneticPr fontId="2" type="noConversion"/>
  </si>
  <si>
    <t>虫珀（Amber Insect）</t>
    <phoneticPr fontId="2" type="noConversion"/>
  </si>
  <si>
    <t>逃避、凝固、定格、封存、倒行、留恋</t>
    <phoneticPr fontId="2" type="noConversion"/>
  </si>
  <si>
    <t>苹果（Apples）</t>
    <phoneticPr fontId="2" type="noConversion"/>
  </si>
  <si>
    <t>成果、结果、收获、回报、交付</t>
    <phoneticPr fontId="2" type="noConversion"/>
  </si>
  <si>
    <r>
      <t>天风姤</t>
    </r>
    <r>
      <rPr>
        <sz val="11"/>
        <color rgb="FF000000"/>
        <rFont val="Segoe UI Symbol"/>
        <family val="3"/>
        <charset val="1"/>
      </rPr>
      <t>䷫</t>
    </r>
    <phoneticPr fontId="2" type="noConversion"/>
  </si>
  <si>
    <t xml:space="preserve"> 从另一个角度看这件事，或错误处理方式的后果。</t>
    <phoneticPr fontId="2" type="noConversion"/>
  </si>
  <si>
    <t>世爻</t>
    <phoneticPr fontId="2" type="noConversion"/>
  </si>
  <si>
    <t>应爻</t>
    <phoneticPr fontId="2" type="noConversion"/>
  </si>
  <si>
    <t>上卦（四五上）</t>
    <phoneticPr fontId="2" type="noConversion"/>
  </si>
  <si>
    <t>下卦（初二三）</t>
    <phoneticPr fontId="2" type="noConversion"/>
  </si>
  <si>
    <t>金</t>
    <phoneticPr fontId="2" type="noConversion"/>
  </si>
  <si>
    <t>阳金</t>
    <phoneticPr fontId="2" type="noConversion"/>
  </si>
  <si>
    <t>阴金</t>
    <phoneticPr fontId="2" type="noConversion"/>
  </si>
  <si>
    <t>阴火</t>
    <phoneticPr fontId="2" type="noConversion"/>
  </si>
  <si>
    <t>阳木</t>
    <phoneticPr fontId="2" type="noConversion"/>
  </si>
  <si>
    <t>阴木</t>
    <phoneticPr fontId="2" type="noConversion"/>
  </si>
  <si>
    <t>阳水</t>
    <phoneticPr fontId="2" type="noConversion"/>
  </si>
  <si>
    <t>阳土</t>
    <phoneticPr fontId="2" type="noConversion"/>
  </si>
  <si>
    <t>阴土</t>
    <phoneticPr fontId="2" type="noConversion"/>
  </si>
  <si>
    <t>申</t>
    <phoneticPr fontId="2" type="noConversion"/>
  </si>
  <si>
    <t>戌</t>
    <phoneticPr fontId="2" type="noConversion"/>
  </si>
  <si>
    <t>辰</t>
    <phoneticPr fontId="2" type="noConversion"/>
  </si>
  <si>
    <t>子水</t>
    <phoneticPr fontId="2" type="noConversion"/>
  </si>
  <si>
    <t>寅木</t>
    <phoneticPr fontId="2" type="noConversion"/>
  </si>
  <si>
    <t>辰土</t>
    <phoneticPr fontId="2" type="noConversion"/>
  </si>
  <si>
    <t>午火</t>
    <phoneticPr fontId="2" type="noConversion"/>
  </si>
  <si>
    <t>申金</t>
    <phoneticPr fontId="2" type="noConversion"/>
  </si>
  <si>
    <t>戌土</t>
    <phoneticPr fontId="2" type="noConversion"/>
  </si>
  <si>
    <t>子水
子孙爻</t>
    <phoneticPr fontId="2" type="noConversion"/>
  </si>
  <si>
    <t>寅木
妻财爻</t>
    <phoneticPr fontId="2" type="noConversion"/>
  </si>
  <si>
    <t>辰土
父母爻</t>
    <phoneticPr fontId="2" type="noConversion"/>
  </si>
  <si>
    <t>午火
官鬼爻</t>
    <phoneticPr fontId="2" type="noConversion"/>
  </si>
  <si>
    <t>申金
兄弟爻</t>
    <phoneticPr fontId="2" type="noConversion"/>
  </si>
  <si>
    <t>戌土
父母爻</t>
    <phoneticPr fontId="2" type="noConversion"/>
  </si>
  <si>
    <t>丑</t>
    <phoneticPr fontId="2" type="noConversion"/>
  </si>
  <si>
    <t>巳火</t>
    <phoneticPr fontId="2" type="noConversion"/>
  </si>
  <si>
    <t>未</t>
    <phoneticPr fontId="2" type="noConversion"/>
  </si>
  <si>
    <t>亥水</t>
    <phoneticPr fontId="2" type="noConversion"/>
  </si>
  <si>
    <t>正北</t>
    <phoneticPr fontId="2" type="noConversion"/>
  </si>
  <si>
    <t>丑土</t>
    <phoneticPr fontId="2" type="noConversion"/>
  </si>
  <si>
    <t>东北偏北</t>
    <phoneticPr fontId="2" type="noConversion"/>
  </si>
  <si>
    <t>东北偏东</t>
    <phoneticPr fontId="2" type="noConversion"/>
  </si>
  <si>
    <t>卯木</t>
    <phoneticPr fontId="2" type="noConversion"/>
  </si>
  <si>
    <t>正东</t>
    <phoneticPr fontId="2" type="noConversion"/>
  </si>
  <si>
    <t>东南偏东</t>
    <phoneticPr fontId="2" type="noConversion"/>
  </si>
  <si>
    <t>东南偏南</t>
    <phoneticPr fontId="2" type="noConversion"/>
  </si>
  <si>
    <t>正南</t>
    <phoneticPr fontId="2" type="noConversion"/>
  </si>
  <si>
    <t>未土</t>
    <phoneticPr fontId="2" type="noConversion"/>
  </si>
  <si>
    <t>西南偏南</t>
    <phoneticPr fontId="2" type="noConversion"/>
  </si>
  <si>
    <t>西南偏西</t>
    <phoneticPr fontId="2" type="noConversion"/>
  </si>
  <si>
    <t>正西</t>
    <phoneticPr fontId="2" type="noConversion"/>
  </si>
  <si>
    <t>酉金</t>
    <phoneticPr fontId="2" type="noConversion"/>
  </si>
  <si>
    <t>西北偏西</t>
    <phoneticPr fontId="2" type="noConversion"/>
  </si>
  <si>
    <t>西北偏北</t>
    <phoneticPr fontId="2" type="noConversion"/>
  </si>
  <si>
    <t>丑土
父母爻</t>
    <phoneticPr fontId="2" type="noConversion"/>
  </si>
  <si>
    <t>未土
父母爻</t>
    <phoneticPr fontId="2" type="noConversion"/>
  </si>
  <si>
    <t>亥水
子孙爻</t>
    <phoneticPr fontId="2" type="noConversion"/>
  </si>
  <si>
    <t>酉金
兄弟爻</t>
    <phoneticPr fontId="2" type="noConversion"/>
  </si>
  <si>
    <t>巳火
官鬼爻</t>
    <phoneticPr fontId="2" type="noConversion"/>
  </si>
  <si>
    <t>卯木
妻财爻</t>
    <phoneticPr fontId="2" type="noConversion"/>
  </si>
  <si>
    <t>卯木
父母爻</t>
    <phoneticPr fontId="2" type="noConversion"/>
  </si>
  <si>
    <t>寅木
父母爻</t>
    <phoneticPr fontId="2" type="noConversion"/>
  </si>
  <si>
    <t>丑土
子孙爻</t>
    <phoneticPr fontId="2" type="noConversion"/>
  </si>
  <si>
    <t>未土
子孙爻</t>
    <phoneticPr fontId="2" type="noConversion"/>
  </si>
  <si>
    <t>戌土
子孙爻</t>
    <phoneticPr fontId="2" type="noConversion"/>
  </si>
  <si>
    <t>亥水
官鬼爻</t>
    <phoneticPr fontId="2" type="noConversion"/>
  </si>
  <si>
    <t>子水
官鬼爻</t>
    <phoneticPr fontId="2" type="noConversion"/>
  </si>
  <si>
    <t>酉金
妻财爻</t>
    <phoneticPr fontId="2" type="noConversion"/>
  </si>
  <si>
    <t>申金
妻财爻</t>
    <phoneticPr fontId="2" type="noConversion"/>
  </si>
  <si>
    <t>巳火
兄弟爻</t>
    <phoneticPr fontId="2" type="noConversion"/>
  </si>
  <si>
    <t>午火
兄弟爻</t>
    <phoneticPr fontId="2" type="noConversion"/>
  </si>
  <si>
    <t>辰土
子孙爻</t>
    <phoneticPr fontId="2" type="noConversion"/>
  </si>
  <si>
    <t>子水
父母爻</t>
    <phoneticPr fontId="2" type="noConversion"/>
  </si>
  <si>
    <t>亥水
父母爻</t>
    <phoneticPr fontId="2" type="noConversion"/>
  </si>
  <si>
    <t>寅木
兄弟爻</t>
    <phoneticPr fontId="2" type="noConversion"/>
  </si>
  <si>
    <t>卯木
兄弟爻</t>
    <phoneticPr fontId="2" type="noConversion"/>
  </si>
  <si>
    <t>辰土
妻财爻</t>
    <phoneticPr fontId="2" type="noConversion"/>
  </si>
  <si>
    <t>戌土
妻财爻</t>
    <phoneticPr fontId="2" type="noConversion"/>
  </si>
  <si>
    <t>未土
妻财爻</t>
    <phoneticPr fontId="2" type="noConversion"/>
  </si>
  <si>
    <t>午火
子孙爻</t>
    <phoneticPr fontId="2" type="noConversion"/>
  </si>
  <si>
    <t>巳火
子孙爻</t>
    <phoneticPr fontId="2" type="noConversion"/>
  </si>
  <si>
    <t>申金
官鬼爻</t>
    <phoneticPr fontId="2" type="noConversion"/>
  </si>
  <si>
    <t>酉金
官鬼爻</t>
    <phoneticPr fontId="2" type="noConversion"/>
  </si>
  <si>
    <t>丑土
妻财爻</t>
    <phoneticPr fontId="2" type="noConversion"/>
  </si>
  <si>
    <t>寅木
子孙爻</t>
    <phoneticPr fontId="2" type="noConversion"/>
  </si>
  <si>
    <t>辰土
官鬼爻</t>
    <phoneticPr fontId="2" type="noConversion"/>
  </si>
  <si>
    <t>丑土
官鬼爻</t>
    <phoneticPr fontId="2" type="noConversion"/>
  </si>
  <si>
    <t>戌土
官鬼爻</t>
    <phoneticPr fontId="2" type="noConversion"/>
  </si>
  <si>
    <t>未土
官鬼爻</t>
    <phoneticPr fontId="2" type="noConversion"/>
  </si>
  <si>
    <t>卯木
子孙爻</t>
    <phoneticPr fontId="2" type="noConversion"/>
  </si>
  <si>
    <t>午火
妻财爻</t>
    <phoneticPr fontId="2" type="noConversion"/>
  </si>
  <si>
    <t>巳火
妻财爻</t>
    <phoneticPr fontId="2" type="noConversion"/>
  </si>
  <si>
    <t>子水
兄弟爻</t>
    <phoneticPr fontId="2" type="noConversion"/>
  </si>
  <si>
    <t>亥水
兄弟爻</t>
    <phoneticPr fontId="2" type="noConversion"/>
  </si>
  <si>
    <t>申金
父母爻</t>
    <phoneticPr fontId="2" type="noConversion"/>
  </si>
  <si>
    <t>酉金
父母爻</t>
    <phoneticPr fontId="2" type="noConversion"/>
  </si>
  <si>
    <t>辰土
兄弟爻</t>
    <phoneticPr fontId="2" type="noConversion"/>
  </si>
  <si>
    <t>戌土
兄弟爻</t>
    <phoneticPr fontId="2" type="noConversion"/>
  </si>
  <si>
    <t>丑土
兄弟爻</t>
    <phoneticPr fontId="2" type="noConversion"/>
  </si>
  <si>
    <t>未土
兄弟爻</t>
    <phoneticPr fontId="2" type="noConversion"/>
  </si>
  <si>
    <t>午火
父母爻</t>
    <phoneticPr fontId="2" type="noConversion"/>
  </si>
  <si>
    <t>巳火
父母爻</t>
    <phoneticPr fontId="2" type="noConversion"/>
  </si>
  <si>
    <t>申金
子孙爻</t>
    <phoneticPr fontId="2" type="noConversion"/>
  </si>
  <si>
    <t>酉金
子孙爻</t>
    <phoneticPr fontId="2" type="noConversion"/>
  </si>
  <si>
    <t>子水
妻财爻</t>
    <phoneticPr fontId="2" type="noConversion"/>
  </si>
  <si>
    <t>亥水
妻财爻</t>
    <phoneticPr fontId="2" type="noConversion"/>
  </si>
  <si>
    <t>寅木
官鬼爻</t>
    <phoneticPr fontId="2" type="noConversion"/>
  </si>
  <si>
    <t>卯木
官鬼爻</t>
    <phoneticPr fontId="2" type="noConversion"/>
  </si>
  <si>
    <t>卦象</t>
    <phoneticPr fontId="2" type="noConversion"/>
  </si>
  <si>
    <t>动爻</t>
    <phoneticPr fontId="2" type="noConversion"/>
  </si>
  <si>
    <t>父母爻（生我者）： 代表能够庇护滋养并保护你的事物。</t>
    <phoneticPr fontId="2" type="noConversion"/>
  </si>
  <si>
    <t>现实事物涵盖长辈师长房屋车辆以及合同文书等具有权威或庇佑性质的客体。</t>
  </si>
  <si>
    <t>子孙爻（我生者）： 代表由你创造释放并能带来愉悦的事物。</t>
    <phoneticPr fontId="2" type="noConversion"/>
  </si>
  <si>
    <t>现实事物涵盖晚辈宠物医药娱乐以及一切能够克制官非病痛的正面解厄能量。</t>
  </si>
  <si>
    <t>妻财爻（我克者）： 代表受你绝对支配并为你所用的现实资源。</t>
    <phoneticPr fontId="2" type="noConversion"/>
  </si>
  <si>
    <t>现实事物涵盖金钱物资妻子下属以及一切可被物化掌控的财富载体。</t>
  </si>
  <si>
    <t>兄弟爻（同我者）： 代表与你地位平等的同类竞争力量。</t>
    <phoneticPr fontId="2" type="noConversion"/>
  </si>
  <si>
    <t>现实事物涵盖平辈朋友同事以及破财损耗等象征着比肩与争夺的意象。</t>
  </si>
  <si>
    <t>官鬼爻（克我者）： 代表能够约束控制甚至直接伤害你的外在力量。</t>
    <phoneticPr fontId="2" type="noConversion"/>
  </si>
  <si>
    <t>现实事物涵盖事业职权官方机构以及疾病灾祸盗贼等施加压力的实体。</t>
  </si>
  <si>
    <t>（寻物主体）（寻人主体）</t>
    <phoneticPr fontId="2" type="noConversion"/>
  </si>
  <si>
    <t>（遗落环境）（目标意愿与环境）</t>
    <phoneticPr fontId="2" type="noConversion"/>
  </si>
  <si>
    <t>（轨迹变量）（行为轨迹与变数）</t>
    <phoneticPr fontId="2" type="noConversion"/>
  </si>
  <si>
    <t>月建</t>
    <phoneticPr fontId="2" type="noConversion"/>
  </si>
  <si>
    <t>日辰</t>
    <phoneticPr fontId="2" type="noConversion"/>
  </si>
  <si>
    <t>时间</t>
    <phoneticPr fontId="2" type="noConversion"/>
  </si>
  <si>
    <t>六神</t>
    <phoneticPr fontId="2" type="noConversion"/>
  </si>
  <si>
    <t>甲</t>
    <phoneticPr fontId="2" type="noConversion"/>
  </si>
  <si>
    <t>乙</t>
    <phoneticPr fontId="2" type="noConversion"/>
  </si>
  <si>
    <t>丙</t>
    <phoneticPr fontId="2" type="noConversion"/>
  </si>
  <si>
    <t>丁</t>
    <phoneticPr fontId="2" type="noConversion"/>
  </si>
  <si>
    <t>戊</t>
    <phoneticPr fontId="2" type="noConversion"/>
  </si>
  <si>
    <t>己</t>
    <phoneticPr fontId="2" type="noConversion"/>
  </si>
  <si>
    <t>庚</t>
    <phoneticPr fontId="2" type="noConversion"/>
  </si>
  <si>
    <t>辛</t>
    <phoneticPr fontId="2" type="noConversion"/>
  </si>
  <si>
    <t>壬</t>
    <phoneticPr fontId="2" type="noConversion"/>
  </si>
  <si>
    <t>癸</t>
    <phoneticPr fontId="2" type="noConversion"/>
  </si>
  <si>
    <t>青龙</t>
    <phoneticPr fontId="2" type="noConversion"/>
  </si>
  <si>
    <t>朱雀</t>
    <phoneticPr fontId="2" type="noConversion"/>
  </si>
  <si>
    <t>勾陈</t>
  </si>
  <si>
    <t>腾蛇</t>
  </si>
  <si>
    <t>白虎</t>
  </si>
  <si>
    <t>玄武</t>
  </si>
  <si>
    <t>偏吉、偏顺、偏体面。常见附加象是喜庆、顺利、贵气、宴饮、财喜，也可引申为漂亮、光明、公开、舒服。</t>
  </si>
  <si>
    <t>偏“口、声、文、讯”。常见附加象是口舌、争辩、文书、消息、信息、通讯、能发声的东西。</t>
  </si>
  <si>
    <t>偏“土、慢、旧、牵连”。常见附加象是田土、契约、陈旧、迟滞、牵扯、拐角、中间地带、熟人旧物。</t>
  </si>
  <si>
    <t>偏“虚、绕、惊、缠”。常见附加象是虚惊、怪异、犹疑、梦、绳线、细长物、缠绕、捆绑、环绕、困扰。</t>
  </si>
  <si>
    <t>偏“硬、急、凶、伤”。常见附加象是刑伤、血光、手术、冲击、凶险、猛、硬物、金属、刀剪、边角。</t>
  </si>
  <si>
    <t>偏“暗、藏、私、偷、虚”。常见附加象是暗昧、隐私、盗窃、欺瞒、暗地里、不易察觉、藏着掖着。</t>
  </si>
  <si>
    <t>木</t>
    <phoneticPr fontId="2" type="noConversion"/>
  </si>
  <si>
    <t>土</t>
    <phoneticPr fontId="2" type="noConversion"/>
  </si>
  <si>
    <t>申酉庚辛</t>
    <phoneticPr fontId="2" type="noConversion"/>
  </si>
  <si>
    <t>寅卯甲乙</t>
    <phoneticPr fontId="2" type="noConversion"/>
  </si>
  <si>
    <t>子亥壬癸</t>
    <phoneticPr fontId="2" type="noConversion"/>
  </si>
  <si>
    <t>巳午丙丁</t>
    <phoneticPr fontId="2" type="noConversion"/>
  </si>
  <si>
    <t>丑辰未戌戊己</t>
    <phoneticPr fontId="2" type="noConversion"/>
  </si>
  <si>
    <t>金生水，水生木，木生火，火生土，土生金</t>
  </si>
  <si>
    <t>金克木，木克土，土克水，水克火，火克金</t>
  </si>
  <si>
    <t>生我者，帮我</t>
  </si>
  <si>
    <t>克我者，压我</t>
  </si>
  <si>
    <t>我生者，泄我</t>
  </si>
  <si>
    <t>我克者，耗我</t>
    <phoneticPr fontId="2" type="noConversion"/>
  </si>
  <si>
    <t>同我者，助我</t>
    <phoneticPr fontId="2" type="noConversion"/>
  </si>
  <si>
    <t>旬首（统帅）</t>
  </si>
  <si>
    <t>统辖干支序列</t>
  </si>
  <si>
    <t>轮空地支（空亡）</t>
  </si>
  <si>
    <t>甲子旬</t>
  </si>
  <si>
    <t>甲子 乙丑 丙寅 丁卯 戊辰 己巳 庚午 辛未 壬申 癸酉</t>
  </si>
  <si>
    <t>戌亥</t>
  </si>
  <si>
    <t>甲戌旬</t>
  </si>
  <si>
    <t>甲戌 乙亥 丙子 丁丑 戊寅 己卯 庚辰 辛巳 壬午 癸未</t>
  </si>
  <si>
    <t>申酉</t>
  </si>
  <si>
    <t>甲申旬</t>
  </si>
  <si>
    <t>甲申 乙酉 丙戌 丁亥 戊子 己丑 庚寅 辛卯 壬辰 癸巳</t>
  </si>
  <si>
    <t>午未</t>
  </si>
  <si>
    <t>甲午旬</t>
  </si>
  <si>
    <t>甲午 乙未 丙申 丁酉 戊戌 己亥 庚子 辛丑 壬寅 癸卯</t>
  </si>
  <si>
    <t>甲辰旬</t>
  </si>
  <si>
    <t>甲辰 乙巳 丙午 丁未 戊申 己酉 庚戌 辛亥 壬子 癸丑</t>
  </si>
  <si>
    <t>寅卯</t>
  </si>
  <si>
    <t>甲寅旬</t>
  </si>
  <si>
    <t>甲寅 乙卯 丙辰 丁巳 戊午 己未 庚申 辛酉 壬戌 癸亥</t>
  </si>
  <si>
    <t>子丑</t>
  </si>
  <si>
    <t>亥</t>
    <phoneticPr fontId="2" type="noConversion"/>
  </si>
  <si>
    <t>巳</t>
    <phoneticPr fontId="2" type="noConversion"/>
  </si>
  <si>
    <t>子午</t>
    <phoneticPr fontId="2" type="noConversion"/>
  </si>
  <si>
    <t>丑未</t>
    <phoneticPr fontId="2" type="noConversion"/>
  </si>
  <si>
    <t>寅申</t>
    <phoneticPr fontId="2" type="noConversion"/>
  </si>
  <si>
    <t>卯酉</t>
    <phoneticPr fontId="2" type="noConversion"/>
  </si>
  <si>
    <t>辰戌</t>
    <phoneticPr fontId="2" type="noConversion"/>
  </si>
  <si>
    <t>巳亥</t>
    <phoneticPr fontId="2" type="noConversion"/>
  </si>
  <si>
    <t>墓</t>
    <phoneticPr fontId="2" type="noConversion"/>
  </si>
  <si>
    <t>绝</t>
    <phoneticPr fontId="2" type="noConversion"/>
  </si>
  <si>
    <t>青龙喜，朱雀言，勾陈滞，螣蛇缠，白虎伤，玄武藏</t>
    <phoneticPr fontId="2" type="noConversion"/>
  </si>
  <si>
    <t>辰巳</t>
    <phoneticPr fontId="2" type="noConversion"/>
  </si>
  <si>
    <t>圣意</t>
  </si>
  <si>
    <t>谋望</t>
  </si>
  <si>
    <t>家宅</t>
    <phoneticPr fontId="2" type="noConversion"/>
  </si>
  <si>
    <t>婚姻</t>
    <phoneticPr fontId="2" type="noConversion"/>
  </si>
  <si>
    <t>失物</t>
  </si>
  <si>
    <t>官事</t>
    <phoneticPr fontId="2" type="noConversion"/>
  </si>
  <si>
    <t>行人</t>
    <phoneticPr fontId="2" type="noConversion"/>
  </si>
  <si>
    <t>占病</t>
    <phoneticPr fontId="2" type="noConversion"/>
  </si>
  <si>
    <t>解曰</t>
  </si>
  <si>
    <t>大吉</t>
    <phoneticPr fontId="2" type="noConversion"/>
  </si>
  <si>
    <t>第一签</t>
  </si>
  <si>
    <t>第四十九签</t>
  </si>
  <si>
    <t>第四十八签</t>
  </si>
  <si>
    <t>第四十七签</t>
  </si>
  <si>
    <t>第四十六签</t>
  </si>
  <si>
    <t>第四十五签</t>
  </si>
  <si>
    <t>第四十四签</t>
  </si>
  <si>
    <t>第四十三签</t>
  </si>
  <si>
    <t>第四十二签</t>
  </si>
  <si>
    <t>第四十一签</t>
  </si>
  <si>
    <t>第四十签</t>
  </si>
  <si>
    <t>第三十九签</t>
  </si>
  <si>
    <t>第三十八签</t>
  </si>
  <si>
    <t>第三十七签</t>
  </si>
  <si>
    <t>第三十六签</t>
  </si>
  <si>
    <t>第三十五签</t>
  </si>
  <si>
    <t>第三十四签</t>
  </si>
  <si>
    <t>第三十三签</t>
  </si>
  <si>
    <t>第三十二签</t>
  </si>
  <si>
    <t>第三十一签</t>
  </si>
  <si>
    <t>第三十签</t>
  </si>
  <si>
    <t>第二十九签</t>
  </si>
  <si>
    <t>第二十八签</t>
  </si>
  <si>
    <t>第二十七签</t>
  </si>
  <si>
    <t>第二十六签</t>
  </si>
  <si>
    <t>第二十五签</t>
  </si>
  <si>
    <t>第二十四签</t>
  </si>
  <si>
    <t>第二十三签</t>
  </si>
  <si>
    <t>第二十二签</t>
  </si>
  <si>
    <t>第二十一签</t>
  </si>
  <si>
    <t>第二十签</t>
  </si>
  <si>
    <t>第九签</t>
  </si>
  <si>
    <t>第八签</t>
  </si>
  <si>
    <t>第七签</t>
  </si>
  <si>
    <t>第六签</t>
  </si>
  <si>
    <t>第五签</t>
  </si>
  <si>
    <t>第四签</t>
  </si>
  <si>
    <t>第三签</t>
  </si>
  <si>
    <t>第二签</t>
  </si>
  <si>
    <t>第十签</t>
    <phoneticPr fontId="2" type="noConversion"/>
  </si>
  <si>
    <t>第十二签</t>
    <phoneticPr fontId="2" type="noConversion"/>
  </si>
  <si>
    <t>第十一签</t>
    <phoneticPr fontId="2" type="noConversion"/>
  </si>
  <si>
    <t>第十三签</t>
    <phoneticPr fontId="2" type="noConversion"/>
  </si>
  <si>
    <t>第十四签</t>
    <phoneticPr fontId="2" type="noConversion"/>
  </si>
  <si>
    <t>第十五签</t>
    <phoneticPr fontId="2" type="noConversion"/>
  </si>
  <si>
    <t>第十六签</t>
    <phoneticPr fontId="2" type="noConversion"/>
  </si>
  <si>
    <t>第十七签</t>
    <phoneticPr fontId="2" type="noConversion"/>
  </si>
  <si>
    <t>第十八签</t>
    <phoneticPr fontId="2" type="noConversion"/>
  </si>
  <si>
    <t>第十九签</t>
    <phoneticPr fontId="2" type="noConversion"/>
  </si>
  <si>
    <t>中下</t>
    <phoneticPr fontId="2" type="noConversion"/>
  </si>
  <si>
    <t>下下</t>
    <phoneticPr fontId="2" type="noConversion"/>
  </si>
  <si>
    <t>中上</t>
    <phoneticPr fontId="2" type="noConversion"/>
  </si>
  <si>
    <t>鸳鸯分飞</t>
    <phoneticPr fontId="2" type="noConversion"/>
  </si>
  <si>
    <t>渔舟上滩</t>
  </si>
  <si>
    <t>中平</t>
    <phoneticPr fontId="2" type="noConversion"/>
  </si>
  <si>
    <t>春兰秋菊</t>
    <phoneticPr fontId="2" type="noConversion"/>
  </si>
  <si>
    <t>游蜂作蜜</t>
  </si>
  <si>
    <t>风卷杨花</t>
    <phoneticPr fontId="2" type="noConversion"/>
  </si>
  <si>
    <t>上上</t>
    <phoneticPr fontId="2" type="noConversion"/>
  </si>
  <si>
    <t>一轮明月</t>
    <phoneticPr fontId="2" type="noConversion"/>
  </si>
  <si>
    <t>当忧不忧</t>
    <phoneticPr fontId="2" type="noConversion"/>
  </si>
  <si>
    <t>笼开鹤去</t>
    <phoneticPr fontId="2" type="noConversion"/>
  </si>
  <si>
    <t>凤凰出林</t>
  </si>
  <si>
    <t>花开遭雨</t>
    <phoneticPr fontId="2" type="noConversion"/>
  </si>
  <si>
    <t>下中</t>
    <phoneticPr fontId="2" type="noConversion"/>
  </si>
  <si>
    <t>月被云遮</t>
    <phoneticPr fontId="2" type="noConversion"/>
  </si>
  <si>
    <t>龙剑出匣</t>
    <phoneticPr fontId="2" type="noConversion"/>
  </si>
  <si>
    <t>鹤鸣九霄</t>
  </si>
  <si>
    <t>渡水无船</t>
    <phoneticPr fontId="2" type="noConversion"/>
  </si>
  <si>
    <t>官事得理，婚姻和合，六甲生男，田蚕大熟，六畜兴旺，凡事大吉。</t>
  </si>
  <si>
    <t>上吉</t>
    <phoneticPr fontId="2" type="noConversion"/>
  </si>
  <si>
    <t>有信，官事有理，求官得位，婚姻可成，六甲生男，田蚕大熟，六畜兴旺。</t>
  </si>
  <si>
    <t>飞龙变化喜逢时，此日升腾果遂期。谋望求财多吉庆，求官进位更无疑。</t>
  </si>
  <si>
    <t>虎出大林须动众，众人见了却忧疑。虽然未必伤人命，亦主虚惊事可知。</t>
  </si>
  <si>
    <t>否极从今喜泰来，龙泉磨拂旧尘埃。莫信守己无他望，闭户深居也获财。</t>
  </si>
  <si>
    <t>劳心费力欲成功，待得花开一阵风。须藉束君轻借力，望中别有一枝红。</t>
  </si>
  <si>
    <t>行船风顺去无疑，利涉江津正遇时。万里长程知可到，所谋遂意事如期。</t>
  </si>
  <si>
    <t>鸳鸯阻隔两分飞，谋望求财未得时。守旧却宜休改革，如今进退尚迟疑</t>
  </si>
  <si>
    <t>枯木逢春色欲华，顿然枝盛长萌芽。时人莫作为柴砍，直待春深又吐华。</t>
  </si>
  <si>
    <t>因见渔舟上逆滩，渔舟泊此且盘桓。前滩过了浑无事，更有后滩过更难。</t>
  </si>
  <si>
    <t>兰芳春景真堪爱，菊吐青香色又佳。乾坤各自为情意，不解东风次第开。</t>
  </si>
  <si>
    <t>不论平地与山尖，无限风光总被占。采得百花成蜜后，与谁辛苦与谁甜。</t>
  </si>
  <si>
    <t>囚人出狱争讼了，却买甜瓜上酒楼。遇见故人同畅饮，酒钱还了又相酬。</t>
  </si>
  <si>
    <t>杨花风卷无消息，却似襄王一梦中。夜静月明风细，空飘零落惹芳丛。</t>
  </si>
  <si>
    <t>开花结子喜逢时，赖得春工造化机。所望求谋皆遂意，永锦还乡事可期。</t>
  </si>
  <si>
    <t>龙蛇混杂最难分，未得风雷变化鳞。一日升腾归北海，那时方得现龙神。</t>
  </si>
  <si>
    <t>月满今霄离梅边，时人感仰丽青天。清光烁群星散，君子营谋便得官。</t>
  </si>
  <si>
    <t>浊油点灯灯易灭，才挑得起又衰微。长心挑尽空劳力，何不抽身早去归。</t>
  </si>
  <si>
    <t>当初得意翻成失，今日忧危事不危。若遇贵人相引接，千年枯木再生枝。</t>
  </si>
  <si>
    <t>养汝原来岁月深，笼开不见意沉吟。相应只在秋江上，明月芦花何处寻。</t>
  </si>
  <si>
    <t>云行雨施春正深，谋望求财总遂心。争讼见官多有理，贵人喜庆自相寻。</t>
  </si>
  <si>
    <t>有舟无楫难撑载，更被漂流向海中。嗟叹世人应不足，悮人如此走西东。</t>
  </si>
  <si>
    <t>鲲化为鹏海浪翻，阴阳交泰太平间。庶人蓦有凌云志，平地雷声启垫还。</t>
  </si>
  <si>
    <t>凤凰飞出林间去，展趋飞来异众禽。一但身荣朝上阙，曰方钦羡尽闻名。</t>
  </si>
  <si>
    <t>种得桃株满院东，花开遭雨又遭风。当初指望收桃吃，到了如今只是空。</t>
  </si>
  <si>
    <t>明月当空处处辉，朗然照耀破昏迷。所谋显达家门吉，此日荣华正及时。</t>
  </si>
  <si>
    <t>求谋未遂如君意，欲望青云路转赊。且宜守旧方为吉，他时必定见荣华。</t>
  </si>
  <si>
    <t>安居兴旺进钱财，天上生云地震雷。禄位高迁尤显达，荣华富贵入门来。</t>
  </si>
  <si>
    <t>家宅惶惶主不盒，盖因先祖作灾述。且宜作福求禳度，更谢家间奉祀神。</t>
  </si>
  <si>
    <t>贵人接引喜更新，口舌官灾远户庭。病者从今身体健，求财谋望总亨通。</t>
  </si>
  <si>
    <t>阴阳道合事亨通，还如人在月中行。琴瑟调和门户吉，富贵荣华百事亨。</t>
  </si>
  <si>
    <t>花正吐时遭夜雨，月当明被云遮。寄言桃李休相笑，一日云开自有时。</t>
  </si>
  <si>
    <t>心事冲冲常不一，坐得身安又不安。所作所为全未遂，却如明月被云拦。</t>
  </si>
  <si>
    <t>众星侵月事须防，小口灾临主祸殃。病者修禳能臧半，志心祈福谢穹苍。</t>
  </si>
  <si>
    <t>新磨龙剑快锋芒，动起冲牛孰敢当。又向携持今在手，英雄猛烈倍寻常。</t>
  </si>
  <si>
    <t>病龙行雨怕虹霓，有病占身事不宜。变化升腾须有日，但宜守旧待明时。</t>
  </si>
  <si>
    <t>鹤鸣霄汉气冲天，九万程途咫尺间。官位日升财禄进，安居吉庆度时年。</t>
  </si>
  <si>
    <t>鱼翻桃浪当三月，此时方喜变龙身。求官得位须前定，百事无忧喜庆新。</t>
  </si>
  <si>
    <t>渡水无船岂可过，波涛汹浪势嵯峨。出入不宜须守旧，进之不得退无他。</t>
  </si>
  <si>
    <t>红日当天照万方，无幽不烛遍余光。君子进身须显达，荣华富贵又安康。</t>
  </si>
  <si>
    <t>忽入深山去路迷，不如归去失狐疑。进退出行俱不利，切须防慎暗中欺。</t>
  </si>
  <si>
    <t>鸿鹄摩天势自然，未逢时至致灾悠。此日升腾还自在，翱翔直上九重天。</t>
  </si>
  <si>
    <t>落花流水两无情，家宅忧疑主不宁。小口阴人招疾厄，切须急梼告神明。</t>
  </si>
  <si>
    <t>游鱼戏水出波问，跳跃优游岂等闲。喜遇泰来通万事，更无险难向於前。</t>
  </si>
  <si>
    <t>日出扶桑万里明，贵人喜气自亨通。求财谋望称心意，若问求官定有名。</t>
  </si>
  <si>
    <t>乌云遍月恰朦胧。暗裹门庭事未中。只宜守旧方为吉，直待云开万事通。</t>
  </si>
  <si>
    <t>风雷鼓舞播乾坤，万物萌芽此日新。君子求谋皆遂意，庶人迪吉显家门。</t>
  </si>
  <si>
    <t>腾蛇入梦主忧疑，防慎家门有贼欺。将来革过方为吉，进退如今未遇时。</t>
  </si>
  <si>
    <t>密云不雨尚蒙苍，却主忧疑亦不妨。更有小人来害己，家门暗昧事须防。</t>
  </si>
  <si>
    <t>宝剑新磨益见光，东西照耀倍寻常。从前自有根基在，润色增明声播扬。</t>
  </si>
  <si>
    <t>群鸦集噪未为奇，防慎阴人口舌欺。退后之时方可免，不然事绪主忧疑。</t>
  </si>
  <si>
    <t>冲霄志气满心胸，君子应非久困穷。此行当际风云会，万人头上逞英雄。</t>
  </si>
  <si>
    <t>不平天理强支持，妄作从来是祸基。君子安贫终有道，莫教失计被人欺。</t>
  </si>
  <si>
    <t>几年综迹在江湖，名利才成出困途。此日相逢官贵力，好看春色满皇都。</t>
  </si>
  <si>
    <t>用尽机谋事不成，如今休要问前程。直待金乌到坤震，自然荣显利名兴。</t>
  </si>
  <si>
    <t>欲求动止莫怀疑，名利求寻莫待迟。但得便中须速去，休教蹉过运和时。</t>
  </si>
  <si>
    <t>名利从来不易求，忙忙世事水中鸥。天公不欲人贪柘，枉使浮云空白头。</t>
  </si>
  <si>
    <t>久在山中待好音，无人拔采说知情。如今借得束风力，叶茂花繁覆地阴。</t>
  </si>
  <si>
    <t>命裹无时不必求，何须日夜泛鱼舟。红鳞祇在秋波内，用尽心机不上钩。</t>
  </si>
  <si>
    <t>昔曾许汝到春来，岂料营为意不谐。且待菊梅开绽月，依然名利两全哉。</t>
  </si>
  <si>
    <t>托人去干心中事，早早回头归故乡。口好怎知心不好，痴心且去受灾殃。</t>
  </si>
  <si>
    <t>埋沉踪迹未亨通，今日承恩谢上穹。改过前非行大道，自然财禄尽雍容。</t>
  </si>
  <si>
    <t>不依时运强求财，心地高平汝自裁。若要妄为非礼事，不招祸至惹天灾。</t>
  </si>
  <si>
    <t>玉体冰肌不肯移，真心惟有岁寒知。如今喜得阳和至，花落依然果满枝。</t>
  </si>
  <si>
    <t>两头事意尚蹉跎，只好随缘守分过。但得时来不多久，眼前求得也消磨。</t>
  </si>
  <si>
    <t>此去相逢贵客邀，莫嗟天外路迢遥。平地任汝营求意，云有天梯渡水桥。</t>
  </si>
  <si>
    <t>履危渡水两艰难，万计千谋名利怪。守分安贫宜忍耐，忙忙劳碌不如闲。</t>
  </si>
  <si>
    <t>贪多偏惹祸临身，名利从来未是真。但得优游家道乐，知他谁是百年人。</t>
  </si>
  <si>
    <t>本来无分作仙翁，为爱飞禽使罩笼。不合脱身天外去，方知贪欲尽成空。</t>
  </si>
  <si>
    <t>时逢暖律景和平，谋望求财总遂心。若要营为当此际，脱身易服取功名。</t>
  </si>
  <si>
    <t>千谋万计事难成，枉走关山万里程。孰若收心且盍耐，不然事主反忧惊。</t>
  </si>
  <si>
    <t>几年流在波涛内，未得风雷志气高。今日脱身才变化，应知万里任游遨。</t>
  </si>
  <si>
    <t>几年静坐守闲居，景物萧条家道虚。此去时通开泰运，不求名利自寻伊。</t>
  </si>
  <si>
    <t>几载蟾宫折桂枝，未逢时节使空回。何期等到花开日，又被连天大雨催。</t>
  </si>
  <si>
    <t>心欲清闲事未闲，失时无把身安。如今却得青云路，不用天梯步广寒。</t>
  </si>
  <si>
    <t>运未亨通莫强求，眼前求得也成忧。不如守旧依稀过，欲得荣华在后秋。</t>
  </si>
  <si>
    <t>运至何须出远邦，自然财宝聚伊傍。利名岂在随人欲，却笑浮生空自忙。</t>
  </si>
  <si>
    <t>枉使贪心惑执迷，不依安分强施为。一朝起祸萧墙内，拿得鹰来鹊已飞。</t>
  </si>
  <si>
    <t>积善之家庆有余，吉人自有福星随。求谋必定从天理，任是凶危也荡除。</t>
  </si>
  <si>
    <t>十年勤苦在灯窗，蓦地番身入选场。喜得当朝用贤士，如今天府姓名香。</t>
  </si>
  <si>
    <t>世间谁及汝聪明，争奈时乖事未成。且在灯窗成旧业，待交秋后问功名。</t>
  </si>
  <si>
    <t>自家心下意荒荒，争奈他人心未忙。财物如山皆分定，劝君守旧待时光。</t>
  </si>
  <si>
    <t>古来名利与兵机，谋者虽多得者稀。不若收心且忍耐，必然失计被人欺。</t>
  </si>
  <si>
    <t>未逢雷焕送归渊，百炼千磨受苦煎。此志化龙知有日，峥嵘头角上青天。</t>
  </si>
  <si>
    <t>未动春雷势力衰，安然平地起风雷。饶君空有拿云手，弄巧番成拙事来。</t>
  </si>
  <si>
    <t>几年松下惜翎毛，不肯低头谒富豪。今日奋身腾碧汉，才知志气比天高。</t>
  </si>
  <si>
    <t>先将一本报君知，秋到经营遂意迟。若遇三阳开泰日，须知名利正当时。</t>
  </si>
  <si>
    <t>天理於人岂在忙，见他富贵便心荒。君今若要求名利，且去乌江问霸王。</t>
  </si>
  <si>
    <t>天理人心两不违，自然合道脱昏迷。太平更感神明佑，南北东西任所为。</t>
  </si>
  <si>
    <t>走遍天涯事未成，才成又着一场惊。不如守旧随缘过，春到人间枯木荣。</t>
  </si>
  <si>
    <t>时逢暖律景和平，谋望求财总遂心。若要营为当此际，管教奋发取功名。</t>
  </si>
  <si>
    <t>当时有意逐束流，欲往蓬菜谒十州。不肯回头归旧业，却教埋没入荒址。</t>
  </si>
  <si>
    <t>地冷天寒水冻冰，安心守志乐清贫。如今喜遇阳和至，四海遨游任往行。</t>
  </si>
  <si>
    <t>几番辛苦起二更，只为平生利与名。喜得太阳东海出，光明无处不亨通。</t>
  </si>
  <si>
    <t>本是聪明豁达人，恰如明月被乌云。等闲借得东风力，吹散浮云月再明。</t>
  </si>
  <si>
    <t>秋后春前欲利名，机关用尽事难成。君能守得东风至，垫奋升腾枯木荣。</t>
  </si>
  <si>
    <t>心南意北枉清排，悔气如今尚未开。名利欲求非此日，宽心守旧待时来。</t>
  </si>
  <si>
    <t>否泰相兼理自然，莫忧运用久淹连。有时借得春风力，吹散浮云见碧天。</t>
  </si>
  <si>
    <t>百炼千磨过此身，几年静里困埃尘。如今借得良工力，官贵相逢喜见新。</t>
  </si>
  <si>
    <t>休望羊羔美酒斟，鱼书疡信两沉沉。鹊巢已被乌鸦占，万计于谋枉费心。</t>
  </si>
  <si>
    <t>三阳交泰转鸿钧，瑞气迎门万事新。岁稔时登财禄旺，又添人口喜相亲。</t>
  </si>
  <si>
    <t>久淹陋室欲更新，争奈伊家少福抹。不惮虚惊忧怪梦，更防小口及阴人。</t>
  </si>
  <si>
    <t>莫忧家宅久淹连，天理於人岂有偏。但肯从前更改过，管教财谷胜常年。</t>
  </si>
  <si>
    <t>无由闲事费支持，枉用贪心不见机。畜产损伤犹小失，更防人口有惊疑。</t>
  </si>
  <si>
    <t>家门兴旺福神多，人口无灾百事和。春夏累沾些小悔，秋冬喜气自然多。</t>
  </si>
  <si>
    <t>指望今年百事昌，谁知因小惹灾殃。如今若得人财好，重告家神灶愿香。</t>
  </si>
  <si>
    <t>淹滞消除正可夸，福星一点照君家。从今莫听傍人说，树正何愁日影斜。</t>
  </si>
  <si>
    <t>不能安分每贪图，惹得家神祸事多。春夏忧愁人口病，秋冬又忌损田禾。</t>
  </si>
  <si>
    <t>指望家和万事成，年来忧闷几曾伸。因和不把家神敬，门户无人有向声。</t>
  </si>
  <si>
    <t>今岁田蚕半吉祥，夏秋又忌损牛羊。冬深人口宜禳保，更忌凶人夜入墙。</t>
  </si>
  <si>
    <t>马旺人兴百事宜，田蚕十倍在秋期。但防阴小生灾疾，见喜无忧不可欺。</t>
  </si>
  <si>
    <t>路险身衰暮夜归，谨防目下闹中非。家中小口招灾祸，六畜田写今岁亏。</t>
  </si>
  <si>
    <t>今年不似去年贫，财宝重添遇贵宾。人口完成无贼盗，平安赛过九州人。</t>
  </si>
  <si>
    <t>不崇香火不修身，来问家间事未伸。若要财兴人口旺，除非安过旧家神。</t>
  </si>
  <si>
    <t>保得身安莫问钱，好香焚灶谢苍天。田蚕六畜多兴旺，管取今年胜旧年。</t>
  </si>
  <si>
    <t>只因不肯敬神明，惹得家中事不盒。今岁欲除灾与祸，除非重整奋家神。</t>
  </si>
  <si>
    <t>莫将怪梦作闲愁，休听邪师祸不招。自是行藏天理合，岂因危小病难消。</t>
  </si>
  <si>
    <t>旧年不利损多般，今岁缘何又不安。畜产田蚕无一倍，更忧火盗事相于。</t>
  </si>
  <si>
    <t>春耕夏种又秋收，人事平安不用忧。早去脱身须谨慎，堤防小辈弄无由。</t>
  </si>
  <si>
    <t>去年指望今年好，今岁缘何又不宁。祇为旧勿多怪异，却教疑忌损人情。</t>
  </si>
  <si>
    <t>预宜更改旧门庭，马旺人兴百事盒。不但田蚕收十倍，更於四肤任经营。</t>
  </si>
  <si>
    <t>好整新居换旧巢，远离群小兔相嘲。时和无事平为福，岁稔何能落下稍。</t>
  </si>
  <si>
    <t>旧居不利向新搬，不肯搬移不得安。万事本家人力薄，春心又忌小人干。</t>
  </si>
  <si>
    <t>汝家无事不须疑，夜梦如何有准期。人眷安然无别虑，堤防暗裹小人欺。</t>
  </si>
  <si>
    <t>是非重迭起虚惊，畜产衰微百怪兴。若要荣为不如意，堤防寇盗入门庭。</t>
  </si>
  <si>
    <t>敬神如在福人欢，宅舍光明百事安。不但田蚕俱得旺，仍於火盗不相干。</t>
  </si>
  <si>
    <t>不祥夜梦作虚惊，鸡犬无端作怪声。非是家神专降祸，只因不祀旧亡灵。</t>
  </si>
  <si>
    <t>莫因岁事起疑心，纵有浮云无人阴。不但人财两兴旺，更於火盗不相侵。</t>
  </si>
  <si>
    <t>敬神自是苔天心，神喜人欢祸不侵。岁小淹留无坚碍，田蚕十倍在秋深。</t>
  </si>
  <si>
    <t>有心斋戒不宜开，恐惹非灾横祸来。归去依然修正果，免教人眷起悲哀。</t>
  </si>
  <si>
    <t>伊家何事起悲哀，南北方头犯上来。酬谢福神更改吉，不然安得皱眉开。</t>
  </si>
  <si>
    <t>阴眷频灾事若何，祇因家宅鬼神多。如今若要平安日，除是寻僧礼达摩。</t>
  </si>
  <si>
    <t>华居新改业初收，又值春期事满畴。耕种定收十倍旺，更为官贵事和周。</t>
  </si>
  <si>
    <t>怪梦频频心下忧，缘何啾唧损驴牛。但知自己惟心欲，不念亡先隋九幽。</t>
  </si>
  <si>
    <t>檐前喜鹊噪声频，报汝今年百事盒。不但田蚕收十倍，更於门户发光明。</t>
  </si>
  <si>
    <t>瑞气迎门百事新，相逢贵客自相亲。秋冬若有淹留滞，春夏人财总遂心。</t>
  </si>
  <si>
    <t>无事何须出外游，恐招火盗反为忧。今春切忌灾人口，要得平安只待秋。</t>
  </si>
  <si>
    <t>君家阴德合天门，岁小淹留祸不侵。六畜人财且休问，平安无事值千金。</t>
  </si>
  <si>
    <t>畜产衰嬴人眷廷，无端怪梦乱昏黄。汝今且待秋成后，好把门庭向日更。</t>
  </si>
  <si>
    <t>无移无定怪无凶，莫把闲愁挂腹中。自有福神阴力佑，秋冬财喜两三重。</t>
  </si>
  <si>
    <t>鬼怪无端绕户庭，向声怪梦使人惊。要知因甚人财赛，只为门前路不平。</t>
  </si>
  <si>
    <t>今年春夏事如何，人口无忧畜产多。秋末冬初岁小悔，更宜祈福保平和。</t>
  </si>
  <si>
    <t>福星高照汝家门，些小忧危不必论。人口田蚕思欲稳，神前多把好香焚。</t>
  </si>
  <si>
    <t>户冷门衰百怪生，人离财散梦魂惊。如今若问平安日，除是修心学道经。</t>
  </si>
  <si>
    <t>勤修香火福神欢，瘟疾无侵邪不干。春夏累逢层吻事，秋冬方喜进平安。</t>
  </si>
  <si>
    <t>六畜有时作怪声，无端恶梦又惊人。要知因甚人多事，只为人求少福神。</t>
  </si>
  <si>
    <t>门庭暗昧鬼邪多，人眷惊忧怎奈何。要得平安须祭祖，将心更改念弥陀。</t>
  </si>
  <si>
    <t>凶灾已过福神来，莫虑家贫不发财。此去管教人畜旺，秋冬加倍百和谐。</t>
  </si>
  <si>
    <t>口舌无端蓦地来，只因家宅有疑猜。归来急早求神福，兔教人口受天灾。</t>
  </si>
  <si>
    <t>世问大礼是婚姻，天配如何悟世人。人若自知天理合，何须着意问天神。</t>
  </si>
  <si>
    <t>乍时相见好容仪，谁料中间一半非。不是婚姻休作对，何如撒手且回归。</t>
  </si>
  <si>
    <t>有绿造物自安排，休叹无绿事不谐。此际好听琴瑟韵，莫教夜雨滴空阶。</t>
  </si>
  <si>
    <t>婚姻到日不须寻，何必区区枉用心。有意种花栽不活，等闲插柳却成林。</t>
  </si>
  <si>
    <t>百岁婚姻一日成，今朝何事苦调停。两边相许无余事，便好承欢通娉婷。</t>
  </si>
  <si>
    <t>不将年命合相同，勉强求成岂利通。纵若有缘成一处，终须离别各西东。</t>
  </si>
  <si>
    <t>几年九坐没人招，今日枯枝长嫩条。自是婚姻千里合，无缘对面路迢遥。</t>
  </si>
  <si>
    <t>傍人只说两相当，难测胸怀抱虎狼。面好怎知心不好，不知独枕外藤床。</t>
  </si>
  <si>
    <t>婚若成时待月圆，不须心下意悬悬。虽然好段姻缘事，争奈他人尚未坚。</t>
  </si>
  <si>
    <t>野草闲花莫恋迷，一朝乐极便生悲。收心且待婚姻事，莫惹傍人说是非。</t>
  </si>
  <si>
    <t>前世因绿会今生，莫为资财起爱憎。若有贵人提拔处，好攀月桂上云层。</t>
  </si>
  <si>
    <t>未有姻绿莫主张，两边年命少相当。媒人本是瞒人汉，谋得成来不久常。</t>
  </si>
  <si>
    <t>女貌郎才世所稀，前缘修定不须疑。如今但得他人肯，便好将钱过定期。</t>
  </si>
  <si>
    <t>偷婚不与众人知，失福违伦悔后迟。若不被人强古害，也遭官府受鞭笞。</t>
  </si>
  <si>
    <t>前生注定是姻缘，女貌郎才并少年。要肯坚心苔天地，管交夫妇共团圆。</t>
  </si>
  <si>
    <t>才方说起便搂搜，即是姻缘不到头。如今略得言相许，又恐他人暗裹谋。</t>
  </si>
  <si>
    <t>不须勉强为资金，姻运来时那用寻。卒急要成非好事，知人知面不知心。</t>
  </si>
  <si>
    <t>姻丝心许不知非，怎好贪欢逐汝归。仁看始知林里雁，五更天晓各分飞。</t>
  </si>
  <si>
    <t>归家便把鸾房整，好听鸣琴有凤声。天付姻绿更和合，伊今不必问前程。</t>
  </si>
  <si>
    <t>许了因何又不同，柢应年命不相同。莫教勉强心无定，又恐相逢是梦中。</t>
  </si>
  <si>
    <t>幼男小女两相宜，配合婚姻似火催。此际好求鸾凤偶，迁延蹉过悔来迟。</t>
  </si>
  <si>
    <t>百年夫妇似呜琴，静中好听凤鸾鸣。休教良姻佳期路，等到天寒失雁群。</t>
  </si>
  <si>
    <t>因观面好不知心，枉属良媒费万金。秪为眼前欢共乐，盒知祸起在娼淫。</t>
  </si>
  <si>
    <t>婚姻本是合团圆，不必荒忙心下悬。自是有缘相会日，管教男女共完全。</t>
  </si>
  <si>
    <t>此亲虽好汝无绿，休要耽迷惹祸愆。改革待伊缘分到，不拘迟晚但心坚。</t>
  </si>
  <si>
    <t>撞着姻缘那用媒，有心何必急相催。皆非今日能相见，五百年前结会来。</t>
  </si>
  <si>
    <t>古来嫁娶择三堂，卒急求成岂善良。若不三思无主意，后来难悔受灾殃。</t>
  </si>
  <si>
    <t>良朋相对说知音，月郎星辉酒味醇。此际好听琴瑟韵，休教蹉过到来春。</t>
  </si>
  <si>
    <t>赤绳缚足记前绿，不用求谋事已成。明月夜深丝竹下，静中好听凤凰声。</t>
  </si>
  <si>
    <t>已前姻偶本来绿，却被傍人说乱言。今日欲求难得就，不如归去待迟延。</t>
  </si>
  <si>
    <t>花言巧语岂真情，浪蝶狂风未可亲。不信但看园裹物，一番风雨便生心。</t>
  </si>
  <si>
    <t>本来姻偶得团圆，争奈傍人起祸端。若要事成宜早速，不然迟慢守孤寒。</t>
  </si>
  <si>
    <t>自古婚姻岂偶然，有绿万里也通传。如今正好修姻契，莫把琵琶送别船。</t>
  </si>
  <si>
    <t>姻缘一事在秋天，莫信傍人弄倒颠。要折野花将自看，休教认作并头莲。</t>
  </si>
  <si>
    <t>松间仙鹤本来孤，月裹嫦娥岂有夫。夫子欲求鸳偶事，待看春色满皇都。</t>
  </si>
  <si>
    <t>天配姻缘合两头，那堪相许又相谋。水清看见鱼游戏，好把丝纶下钓钩。</t>
  </si>
  <si>
    <t>眼下心思欲便成，岂知年命不相登。如今若要寻人口，且待黄河九波澄。</t>
  </si>
  <si>
    <t>鸳鸯飞入凤凰窼，莫教傍人背后唆。自是有缘天配合，不看年命也谐和。</t>
  </si>
  <si>
    <t>前生原是汝家人，今世相逢又做亲。争奈目今时未至，且宜宽慢待人成。</t>
  </si>
  <si>
    <t>休想斯人到汝家，莫教执昧起咨嗟。落花有意随流水，流水无情恋落花。</t>
  </si>
  <si>
    <t>天与姻缘两利宜，那堪相许莫相违。他时共得成连理，似水如鱼岂暂离。</t>
  </si>
  <si>
    <t>如今喜得自投机，正好成婚过礼仪。两下相求无别虑，休题年长与年抵。</t>
  </si>
  <si>
    <t>本来婚娅要团圆，争奈傍人乱闹喧。早定不如迟定好，宁教达者受孤眠。</t>
  </si>
  <si>
    <t>天婚本是宿时缘，休听傍人胡乱传。怠慢迁延三五日，琵琶抱入别人船。</t>
  </si>
  <si>
    <t>眷属无涂兄易逢，也应说过两三重。纵然勉强成亲后，只恐相逢是梦中。</t>
  </si>
  <si>
    <t>婚姻前定莫强为，纵若强为久后非。此虏不留须别虏，何劳着意惹耽迷。</t>
  </si>
  <si>
    <t>重整罗衣越样新，汝思堪作自家人。岂知久后人心别，只恐菱花再染尘。</t>
  </si>
  <si>
    <t>休信傍人说得狂，莲花那比菊花香。好生回步重开眼，莫把乌鸦作凤凰。</t>
  </si>
  <si>
    <t>偶失资财莫怨天，要知综迹在南边。过时终有传音信，莫把平人作盗冤。</t>
  </si>
  <si>
    <t>只为当初不小心，资财已失复何寻。直教月尽寅申日，才有傍人说信音。</t>
  </si>
  <si>
    <t>几年沙裹去淘金，失却才知枉费心。目下欲寻难得见，直逢艮后有知音。</t>
  </si>
  <si>
    <t>吃辛受苦钻资财，谁想今朝灰受灾。得失富贫皆由命，如今不必乱疑猜。</t>
  </si>
  <si>
    <t>昨日扁舟过洞庭，知君心下不安宁。相应失却凡间物，终有综由莫用惊。</t>
  </si>
  <si>
    <t>失却凡财问圣真，汝今莫把众人慎。天曹料剩分毫定，衣食随求不害身。</t>
  </si>
  <si>
    <t>分明失物在束方，不解追寻室裹忙。若还更迟三五日，他人落得嘴头光。</t>
  </si>
  <si>
    <t>皆因为小失驴牛，触在心头整日忧。人眼不如天眼见，分明教汝莫贪求。</t>
  </si>
  <si>
    <t>自失如何怨老天，神公岂肯为财怜。伊君要听真消息，不在明年在后年。</t>
  </si>
  <si>
    <t>失去资财莫怨天，谁交贤者只贪眠。情知已入他人手，不在芦花浅水边。</t>
  </si>
  <si>
    <t>莫赖平人暗裹责，分明落在市桥西。如今有靠神灵佑，失物还须不得齐。</t>
  </si>
  <si>
    <t>原来不是自家财，何用叨叨着意猜。不想破财又折本，总然寻得也招灾。</t>
  </si>
  <si>
    <t>浮财失去问谁将，莫把平人要细祥。汝正的然西向坐，原来此物在东方。</t>
  </si>
  <si>
    <t>失却浮财莫哭穷，要寻目下不能从。直交风玲寒霜至，方见傍人说实综。</t>
  </si>
  <si>
    <t>失物跦由过北厢，如今休要乱胡详。来朝自有傍人见，便靠神明保吉祥。</t>
  </si>
  <si>
    <t>乍失资财莫便慎，宽怀休要怨他人。归来且把心头忖，破了浮财免害身。</t>
  </si>
  <si>
    <t>柢因赖散不收藏，失去之时便有藏。用意早寻容易见，更迟三日往西方。</t>
  </si>
  <si>
    <t>闲时不把壁篱修，失却浮财更惹忧。财物已落空消化，如今那去讨综由。</t>
  </si>
  <si>
    <t>劝君更改不依从，失去求神问吉凶。子午方头人旺肤，好交仔细问来综。</t>
  </si>
  <si>
    <t>闲时不肯细堤防，失去如何空自忙。山涧有综寻不见，莫思音信在谁傍。</t>
  </si>
  <si>
    <t>束北方头水路行，综由寻见物还生。莫交怠慢多疑虑，财散人离有改更。</t>
  </si>
  <si>
    <t>只因自己欠遮围，失去何如得自归。便要经官方得见，不教久后受人亏。</t>
  </si>
  <si>
    <t>何用叨叨着意猜，情知不是自家财。须凭天理求安乐，非义从来是祸胎。</t>
  </si>
  <si>
    <t>如今已到别人边，莫把平人作盗冤。踪迹有方终久出，虽然得见也难全。</t>
  </si>
  <si>
    <t>遍寻综迹少人知，不若回身且待迟。等到月残申酉日，要知失物在斯时。</t>
  </si>
  <si>
    <t>东西小路旧人家，失去综由在彼遮。死物仍然生活物，不须怨恨惹咨嗟。</t>
  </si>
  <si>
    <t>家神不旺惹非灾，失去如何是汝财。不想自家时运拙，何须心下乱疑猜。</t>
  </si>
  <si>
    <t>东北方头古路通，逢人更好问知风。君今休要辞劳苦，仔细眼寻未落空。</t>
  </si>
  <si>
    <t>失物虽然路已赊，未沉深虏没姻涯。急寻自有神明在，不怕千重篱壁遮。</t>
  </si>
  <si>
    <t>有心人算没心人，失却资财却问神。踪迹有时终久在，不须发恶惹人慎。</t>
  </si>
  <si>
    <t>失去如今徒自忙，等闲不肯细堤防。要知踪迹归何肤，直待中旬夜月光。</t>
  </si>
  <si>
    <t>分明失物在束方，知者虽多不肯谈。若是钱财难得见，己分骨肉又酸醎。</t>
  </si>
  <si>
    <t>暂时失去莫惊忧，急急归家计后求。西北方头去路处，有人对面说踪由。</t>
  </si>
  <si>
    <t>户乏门衰祸事临，资财失去便难寻。要知踪迹归何处，只在山前及树林。</t>
  </si>
  <si>
    <t>何期一失路迢遥，死活如今尚未消。再告神天阴保佑，能知踪迹在阶桥。</t>
  </si>
  <si>
    <t>略知踪迹又港藏，休赖平人未见脏。失物要知何日得，且看辰已卯寅当。</t>
  </si>
  <si>
    <t>失物分明在岸边，要寻只为汝无缘。归家自把心量度，敢是时乖莫怨天。</t>
  </si>
  <si>
    <t>失物如今未落空，休将闲气恼心中。急寻直向南头去，自有傍人说实踪。</t>
  </si>
  <si>
    <t>汝忧失去问知风，只是难寻未落空。退步宽心终得见，不然惹起闹轰轰。</t>
  </si>
  <si>
    <t>失去资财却自忙，只因不肯细堤防。如今失却无回路，终有傍人说信方。</t>
  </si>
  <si>
    <t>家人报汝有忧惊，梦裹耽迷不自醒。已失且宜底着忍，休教冒认失人情。</t>
  </si>
  <si>
    <t>失去何须心下忙，只因无事少堤防。要知踪迹归何，祗在溪边水岸傍。</t>
  </si>
  <si>
    <t>束西古路旧林前，失去综由在裹边。死物依然生活物，不须怨怅把人冤。</t>
  </si>
  <si>
    <t>莫将小事恶心中，神怒人嫌难见综。且去南方寻旧迹，如今不必乱槌胸。</t>
  </si>
  <si>
    <t>自从失去不知风，问卜求神尽是空。惟有本心阴德重，如今踪迹在西东。</t>
  </si>
  <si>
    <t>梦中曾报有惊疑，不觉堤防引盗窥。已失要寻难得见，若经官府反招非。</t>
  </si>
  <si>
    <t>堪笑浮生空自忙，不知天纲暗中张。荣枯得失皆前定，自古浮生不久长。</t>
  </si>
  <si>
    <t>横祸飞来要破财，如今休把众人猜。有综终是难全得，损折岁见可免灾。</t>
  </si>
  <si>
    <t>自己当时不小心，如今失却便难寻。休教惹得傍人闹，受辱遭殃岂可禁。</t>
  </si>
  <si>
    <t>未发文书不用瞋，公厅虽直事难伸。不如散却心头火，免得将钱送别人。</t>
  </si>
  <si>
    <t>只好安居守运时，莫经官府受鞭笞。劝君休管人闲事，惹得愁来悔后迟。</t>
  </si>
  <si>
    <t>偶遭横事迫躯身，冤枉如何诉得伸。自有神明空裹佑，不教善者作囚人。</t>
  </si>
  <si>
    <t>自古刚强解悟身，谁知有理反遭慎。如今未必官刑责，何不私和做好人。</t>
  </si>
  <si>
    <t>休听人峻入县衙，两边徒尔结冤家。不如撒手平和去，免得阶前叫老爹。</t>
  </si>
  <si>
    <t>新事伤人旧事成，劝君休要逞高能。平心自有宪台上，此地从来不可登。</t>
  </si>
  <si>
    <t>得和阑处且和阑，到处人心有恶奸。莫信酒中胡说易，岂知台上对词难。</t>
  </si>
  <si>
    <t>戒伊不用苦贪嗔，恐有文词到讼听。凡事抽身归去好，闭门静坐作贤人。</t>
  </si>
  <si>
    <t>世间难戒是贪嗔，因笑螳螂不见机。只恐鸣蝉遭汝捕，不知黄雀后头随。</t>
  </si>
  <si>
    <t>从来惧法怕官方，事到头来险几场。自有高人亲眼盼，不须惆怅虑心肠。</t>
  </si>
  <si>
    <t>横事无忧蓦地来，心中愁闷几时开。如今不惹和为贵，免得将钱到宪台。</t>
  </si>
  <si>
    <t>少辈般唆事未宁，如今不用把心惊。公厅自有真明镜，曲直无灾兔杖刑。</t>
  </si>
  <si>
    <t>人鬼交横事求和，难分曲直及奔波。不如忍却心头火，免得浑身受折磨。</t>
  </si>
  <si>
    <t>汝本聪现特达人，偶逢淹滞损精神。云收雨散中霄静，现出蟾光四海明。</t>
  </si>
  <si>
    <t>万事无过一认真，何须苦苦说艰辛。不如急早回头去，到彼须防鬼弄人。</t>
  </si>
  <si>
    <t>烧香祷告意精神，若问官灾事不成。自有贵人提举力，虎头蛇尾不须惊。</t>
  </si>
  <si>
    <t>三司台上始知非，图圄围中悔后迟。若得皇恩天赦到，开牢放出罪人归。</t>
  </si>
  <si>
    <t>莫信人来话短长，虽然失理也高强。若逢官贵微加力，如日光明大吉祥。</t>
  </si>
  <si>
    <t>官事从来好劝开，钱怪理直不须来。莫交成事难回避，只恐淹留到宪台。</t>
  </si>
  <si>
    <t>初然心事尚孤疑，到底渊清见石堤。终有贵人添气力，不交罗纲罩鲸鱼。</t>
  </si>
  <si>
    <t>本为毛羽惜朱衣，恨入深林被鹊欺。今日奋身腾碧汉，从他鼠鹊哂何时。</t>
  </si>
  <si>
    <t>横事临门岂可进，堤防小口笑中刀。迁延不肯平和了，终久缠身到宪牢。</t>
  </si>
  <si>
    <t>龙虎相投事有佳，一输明月照天涯。已分玉石何须虑，不必君心乱如苏。</t>
  </si>
  <si>
    <t>若求动用不须来，守分依稀可免灾。官事宜和方是吉，两家才免挂心怀。</t>
  </si>
  <si>
    <t>贵人相应事无干，和气融融共一团。汝事抽身归去好，任他狡猾百千端。</t>
  </si>
  <si>
    <t>事须有理见官迟，若不私和有是非。事到公厅难解脱，文词反覆更难为。</t>
  </si>
  <si>
    <t>不用投词事已开，一团和气入门来。见官终是蒙官力，何必忧疑虑远灾。</t>
  </si>
  <si>
    <t>汝是人中最吉人，胡为胡作损精神。阳德不如阴德好，徒教到底不沾身。</t>
  </si>
  <si>
    <t>本来无事惹非灾，只为他人做出来。若到公厅难理直，不如私下劝和开。</t>
  </si>
  <si>
    <t>事到心头割似刀，不如忍耐莫强操。任他车马团团转，局势虽赢着不高。</t>
  </si>
  <si>
    <t>小辈无端弄是非，却教有理反成亏。如今急早平和了，莫待牵连入狱围。</t>
  </si>
  <si>
    <t>别人起事偶干伊，何用坏疑别是非。自有高人说公道，不教善者受刑亏。</t>
  </si>
  <si>
    <t>官事从和便好休，莫教自己作牢囚。劝君且把心量度，亏你些见有甚差。</t>
  </si>
  <si>
    <t>叮咛嘱咐不须忧，讼至公厅不自由。幸有高人亲着力，更无名字到皇州。</t>
  </si>
  <si>
    <t>笑聚山林凶恶稠，良善何必苦煎忧。主人大笑出门去，不用干戈盗贼休。</t>
  </si>
  <si>
    <t>莫将文字入官凶，恐被牵连到狱中。不若抽身归去好，任他风雨遍西东。</t>
  </si>
  <si>
    <t>自古才高气亦高，何须分诉口叨叨。前头自有高人力，不枉工夫走一遭。</t>
  </si>
  <si>
    <t>有理番成失理亏，吁嗟好事到头非。托人劝解方为吉，免得牵连到狱闱。</t>
  </si>
  <si>
    <t>吾今报汝不须忧，官事虽凶未到头。但得贵人问口笑，不教贤者写供由。</t>
  </si>
  <si>
    <t>暗室亏心天地知，何须临事告神祇。有理未成宜退步，恐遭刑宪悔来迟。</t>
  </si>
  <si>
    <t>小人里怪起无端，良善荒荒心胆寒。天理岂容人事变，不教直者受欺瞒。</t>
  </si>
  <si>
    <t>是非无故陷平人，何用忧心怯杖刑。自有贵人来喝散，终无囚狱不须惊。</t>
  </si>
  <si>
    <t>休争闲气起官灾，到彼应无乾争来。孰若平和回首去，不然牵绊入牢围。</t>
  </si>
  <si>
    <t>初然声势好惊人，良善荒荒意不盗。若得洞庭归去后，风和浪静放船行。</t>
  </si>
  <si>
    <t>人鬼交横事未谐，如今急急早安排。见官不如私和好，嬴得之时也损财。</t>
  </si>
  <si>
    <t>官事悠悠不肯休，叮咛嘱汝不须忧。若逢龙虎交逢日，不用干戈也自休。</t>
  </si>
  <si>
    <t>自古饶人不是痴，事须有理也须迟。公厅自有真明镜，急速难分黑白时。</t>
  </si>
  <si>
    <t>喧哗闲事闹烘烘，久后忧疑主见凶。来到公厅分曲直，一场惊险遍虚空。</t>
  </si>
  <si>
    <t>卦直飞龙莫问亲，千山万水几艰辛。直交明月团圆处，西出阳关见故人。</t>
  </si>
  <si>
    <t>码杳鱼沉信息稀，空劳望断白云迷。相逢若遇寅辰日，鹊噪檐前人马归。</t>
  </si>
  <si>
    <t>历涉江河几万重，家乡回首白云笼。从来也有阴功护，人在春风和气中。</t>
  </si>
  <si>
    <t>去时指望采黄金，回首家乡路转深。今日早知人事别，当初何似莫贪心。</t>
  </si>
  <si>
    <t>归期限促恨悠悠，争奈淹留事未周。若得福神添力佑，轻帆风送岸头舟。</t>
  </si>
  <si>
    <t>去时多有弟和兄，岂料中途失伴群。阻滞未来终久到，何须每日倚柴门。</t>
  </si>
  <si>
    <t>音书许送到君家，争奈人情事未谐。直待三阳回马后，忽然衣锦到门阶。</t>
  </si>
  <si>
    <t>一心常卦两头忧，路阻关心不自由。惆怅几多冤恨事，更无消息到杨州。</t>
  </si>
  <si>
    <t>久去虽然音信稀，汝今何用意踌蹰。菊兰自有开花日，各自根苗等待时。</t>
  </si>
  <si>
    <t>艰难经涉万重山，心事忙忙意未还。又恐路途人毒害，几多凶险在其间。</t>
  </si>
  <si>
    <t>几年相别到门闻，今日他乡遇故知。归意急如江上浪，只争来早与来迟。</t>
  </si>
  <si>
    <t>鱼沉鸦杳去无综，困旅穷途阻不通。万里故乡归未得，阳关回首白云浓。</t>
  </si>
  <si>
    <t>行人心急意徘徊，阻路牵连尚未回。寅卯待交辰巳日，依然平地一声雷。</t>
  </si>
  <si>
    <t>行人去后未还家，同伴台连有怨嗟。要见直逢壬癸日，故人方始出天涯。</t>
  </si>
  <si>
    <t>去时曾约便柑逢，今日音书又不通。阻滞潦留三五日，管交财阜乐时丰。</t>
  </si>
  <si>
    <t>身衰力弱路难行，咫尺家乡万里程。宜向道中求善福，免交风雨送秋声。</t>
  </si>
  <si>
    <t>不用人前问信音，行人在外有归心。虽然钱物无多少，但得平安直万金。</t>
  </si>
  <si>
    <t>利名赠蹬意徘徊，身阻他乡未便归。望断长江无信息，却知鲍老送婴孩。</t>
  </si>
  <si>
    <t>久住他乡未到家，偶然流落在天涯。一朝待遇龙行雨，枯木依然满树花。</t>
  </si>
  <si>
    <t>损体伤身只为财，他乡羁绊未回来。行人在路防官事，家下仍忧火盗灾。</t>
  </si>
  <si>
    <t>去人归后促行装，离了他乡在路傍。牛马下旬音信到，平安无事不须忙。</t>
  </si>
  <si>
    <t>关山迢递路艰难，去了行人尚未还。好向神天修善福，免教身入鬼门关。</t>
  </si>
  <si>
    <t>相望行人在目前，如何归兴许迁延。要知何日音书到，明月团圆人自圆。</t>
  </si>
  <si>
    <t>去年平稳不须疑，只为财中所见迟。若问归期何日到，虎头蛇尾报君知。</t>
  </si>
  <si>
    <t>骏马长途紧着鞭，三朝两日便朝元。京华作个逍遥客，一纸音书下九天。</t>
  </si>
  <si>
    <t>去后三般不自由，门庭消索玲如秋。行人一去无音信，且到春来莫要忧。</t>
  </si>
  <si>
    <t>若问行人几日归，更待三三五五期。若遇贵人扶力气，不须惆怅虑灾危。</t>
  </si>
  <si>
    <t>关山迭迭路崎岖，客旅忧心挂两偶。今日忧危都散尽，忽然归兴到门闾。</t>
  </si>
  <si>
    <t>人去他乡未到家，两头心绪乱如苏。谁交云散蟾光现，方见人财兔叹嗟。</t>
  </si>
  <si>
    <t>欲问行人尚未还，归期重隔几重山。荣鞭赢马登程去，只为丝丝有贵攀。</t>
  </si>
  <si>
    <t>去时急速转时迟，何事迁延到此时。争奈途中身有阻，早求洪福保灾危。</t>
  </si>
  <si>
    <t>剑出铜函快似锋，行人已在半途中。若逢子午归期到，休虑关山几万重。</t>
  </si>
  <si>
    <t>去时曾约便回还，等到如今夜月残。途路有灾宜作福，保安才出万重山。</t>
  </si>
  <si>
    <t>遥想家书抵万金，今朝报汝放宽心。程途须远家乡近，门外马嘶人自临。</t>
  </si>
  <si>
    <t>不记当初要脱身，如今求我问行人。行人若要归来日，再待牛羊逐鼠辰。</t>
  </si>
  <si>
    <t>慢劳回首望青天，去客淹留在路边。咫尺有如千里远，音稀信杳苦相煎。</t>
  </si>
  <si>
    <t>旧约虽违莫怨嗟，行人已自离天涯。如今不必倚门望，巳午逢羊便到家。</t>
  </si>
  <si>
    <t>若问行人尚未还，忙忙回首已乡关。行非恩恋归来晚，只为丝丝事挂攀。</t>
  </si>
  <si>
    <t>几度阳关去问津，未知音信寄何人。如今不必登楼望，久客归期在酉辰。</t>
  </si>
  <si>
    <t>非是其人不恋家，只因阻隔在天涯。敬寻无路终朝望，十二巫山锁暮霞。</t>
  </si>
  <si>
    <t>困旅穷途羁绊间，去时容易转时难。伊今要问归期日，直待鱼龙出浅滩。</t>
  </si>
  <si>
    <t>故人久去在天涯，万水千山未到家。今日雁传音信至，平安报到免咨嗟。</t>
  </si>
  <si>
    <t>音书未许寄来频，岂料中途鸦失群。等到鹦呜犬吠日，行人方脱万重云。</t>
  </si>
  <si>
    <t>傍人传说不相同，去后音书不见综。幸是本家阴隐重，分明人在泰和中。</t>
  </si>
  <si>
    <t>坐想行思去路赊，重山阻隔未还家。如今要见亲人面，直待蟾光转海涯。</t>
  </si>
  <si>
    <t>远望行人信息稀，不知凶吉致狐疑。如今若问真消息，蛇马逢牛是到期。</t>
  </si>
  <si>
    <t>每遇音书未见真，空劳密意祷天神。要知去客平安事，直待龙蛇到始明。</t>
  </si>
  <si>
    <t>终签不利卜行人，客路忙忙未转身。中道有忧灾祸扰，早求洪福叩龙神。</t>
  </si>
  <si>
    <t>焚香梼告意精专，惟在君心作福田。寿算天曹曾注定，何劳私下保安痊。</t>
  </si>
  <si>
    <t>闹中得病静中安，莫作寻常一例看。有愿在心宜早赛，免教积热变脾寒。</t>
  </si>
  <si>
    <t>刚强狼戾惹凶灾，谴责肌肤瘦似柴。若合道心从革过，枯枝花叶一时开。</t>
  </si>
  <si>
    <t>但知动作是真奇，不想贪心惹祸基。空使七情伤本体，早求善力保无疑。</t>
  </si>
  <si>
    <t>谁觉灾来疾似风，卢医扁鹊枉施功。何知一愿酷天地，再与添筹作老翁。</t>
  </si>
  <si>
    <t>妻占夫兮夫占妻，终朝必定守孤恓。父兄伯叔占男子，患难虽沉尚可医。</t>
  </si>
  <si>
    <t>无灾不肯念弥陀，有病才思旧愿多。若肯尽心从改过，不交善者见阎罗。</t>
  </si>
  <si>
    <t>只因小事恼心怀，惹得忧疑怪病来。急向静中求福善，莫教加谴堕尘埃。</t>
  </si>
  <si>
    <t>此处恹恹怨满怀，未逢良药事难谐。平安等到三更后，祸去从交福降来。</t>
  </si>
  <si>
    <t>恶病临身没奈何，看看沉重见阎罗。如今若要凶星退，速请高僧理剎那。</t>
  </si>
  <si>
    <t>几年才脱是非门，岂料天灾又染身。若更不求神力佑，留连日久困尘埃。</t>
  </si>
  <si>
    <t>梦入幽冥路已赊，投神空自惹咨嗟。落花有意随流水，流水无情恋落花。</t>
  </si>
  <si>
    <t>天星不顺致灾愆，有病占身不损年。若得明师及谬语，不如祈福谢苍天。</t>
  </si>
  <si>
    <t>玉石难分假与真，阴阳玲热未均宁。早把心香焚一灶，免得阳间作阴人。</t>
  </si>
  <si>
    <t>中心有事意难为，如若为之君子知。自是善财难割舍，舍之祸去福来随。</t>
  </si>
  <si>
    <t>忧危莫枉费资财，流水无情去不回。半点残灯光欲尽，更遭一阵猛风来。</t>
  </si>
  <si>
    <t>灾来不是自家招，何用将钱向鬼烧。但要平心苔天地，依然平稳过寒潮。</t>
  </si>
  <si>
    <t>天星不顺病难安，每日恹恹改旧颜。服药求神无应效，许来心愿不如迟。</t>
  </si>
  <si>
    <t>来如风雨去微尘，病者恹恹尚未醒。好把心头愿早赛，兔交疾病苦缠身。</t>
  </si>
  <si>
    <t>破舟过海又遭风，失楫逢危在险中。问卜求医都是妄，不如急景扣阴功。</t>
  </si>
  <si>
    <t>七情伤体惹灾来，皱却双眉闷不开。作福梼神求保护，免教人眷起悲哀。</t>
  </si>
  <si>
    <t>数载淹留运未通，灾星正照汝家门。谁知却有穹苍助，保汝痊安谢上穹。</t>
  </si>
  <si>
    <t>真病从来无药方，莫教沉重却荒忙。伊人不告神天佑，老者淹留少者亡。</t>
  </si>
  <si>
    <t>从来祸福两无门，总是人招不必论。正好当天投首谢，莫教夜月照孤魂</t>
  </si>
  <si>
    <t>自古人生七十稀，为图名利染灾危。荣枯修短皆前定，保得身全也损皮。</t>
  </si>
  <si>
    <t>凶星已退病将痊，尽是先亡作祸愆。一炷信香通表过，忽然久病脱身田。</t>
  </si>
  <si>
    <t>命赛时乖是非，何须临难告神祇。不如早赛心头愿，莫负当初起许时。</t>
  </si>
  <si>
    <t>作善修因宿事绿，君家阴德答苍天。天医自有灵丹药，些小淹留病得痊。</t>
  </si>
  <si>
    <t>天灾数定不由人，何用叨叨读鬼神。自是灾星当满日，依然体旺久精神。</t>
  </si>
  <si>
    <t>病已临身脱则难，求医无效减容颜。须知旧愿宜先赛，可免身淹枕席间。</t>
  </si>
  <si>
    <t>家宅无神鬼祟多，病人恍惚意蹉跎。如今若要身安健，除是将财舍剎那。</t>
  </si>
  <si>
    <t>星辰不顺祸临身，莫待淹留变骨症。早修禳灾可及脱，兔教人眷举悲哀。</t>
  </si>
  <si>
    <t>皮肤消瘦骨还坚，每日恹恹未得痊。但要存心报忠孝，何忧小病损天年。</t>
  </si>
  <si>
    <t>事情伤体有灾来，崇祸临门遣不开。要好求神还旧愿，兔教人眷起裴哀。</t>
  </si>
  <si>
    <t>灾来本是去西天，汝有阴功尚可延。不怕方隅神杀重，如今只要愿心坚。</t>
  </si>
  <si>
    <t>旦夕灾危吉有之，莫忧久病费支持。设吞药饵恐伤命，不若收心且待迟。</t>
  </si>
  <si>
    <t>有方无药病难安，问卜求神说祸端。及早归家修善福，莫教加证变脾寒。</t>
  </si>
  <si>
    <t>小病缠身莫谩看，恐加潮热变脾寒。如今正是灾星照，不肯修禳难保安。</t>
  </si>
  <si>
    <t>俟求药饵罔求神，疾病恹恹朱脱身。斗下有功灾可度，便教久病顿然轻。</t>
  </si>
  <si>
    <t>未遇良医病不除，家财消乏莫嗟吁。但要五湖明月在，不愁无获金珠。</t>
  </si>
  <si>
    <t>运赛时乖不自由，灾来只为苦贪求。月过十五光明少，人到终年万事休。</t>
  </si>
  <si>
    <t>天星不顺被灾愆，何用临危告圣贤。但要汝心存善念，能教百病自然痊。</t>
  </si>
  <si>
    <t>平安无事不烧香，直待临危告上苍。汝病欲求痊可日，除非舍去世间脏。</t>
  </si>
  <si>
    <t>祸福无门自惹来，七情深染便生灾。如今若要心安乐，广布阴功舍施财。</t>
  </si>
  <si>
    <t>心烦骨热更皮寒，咒咀冤家起祸端。早向神天求谢过，能令百病自然安。</t>
  </si>
  <si>
    <t>苦病缠身不可当，投医无效好难量。欲得不如南柯梦，你是修身作善良。</t>
  </si>
  <si>
    <t>偶然无事忽遭愆，定是亡人要纸钱。有愿在心宜早赛，莫教淹滞在床眠。</t>
  </si>
  <si>
    <t>天谴凡人怎得知，偶遭磨障费支持。如今急早求禳保，莫待临时悔后迟。</t>
  </si>
  <si>
    <t>灾病缠绵未得全，虔诚求福告神天。操心不改遭魔障，若得痊时也损钱。</t>
  </si>
  <si>
    <t>占家宅人口大利，病宜作福，官事有理，求财遂意，六甲生男，求官必达，行人即至，六畜兴旺，田蚕大熟，身体大吉，婚姻可成。</t>
  </si>
  <si>
    <t>占家宅人口有灾，心失脱，求财未遂，失物不见，即宜急寻，行人未至，病者重，作福求官未达，六甲有惊，田蚕半熟，六畜宜保，婚事不成，官事和。</t>
  </si>
  <si>
    <t>占家宅人口大吉，求财有喜，失物可寻，病者渐退，行人将至，官事有理，婚姻可成，田嚣六畜兴旺，占身作福吉，求官必达，六甲生男，事大吉。</t>
  </si>
  <si>
    <t>占家宅有口舌生灾，失物不见，官事宜和，求财未遂，求官未达，病祭家神，行人求至，六甲生女，田蚕半熟，六畜保吉，占身迟滞，婚姻不成。</t>
  </si>
  <si>
    <t>占家宅小口有灾，病者作福，占身忌小人侵等，失物急寻，求财未遂，行人有信至，求官未达，田蚕半熟，六甲生男，六畜保吉，婚姻可成。</t>
  </si>
  <si>
    <t>占家宅人口有灾，自身防口舌，病作福，失物不见，求财未遂，行人未至，官事失理，求官未达，田蚕半熟，六甲难产有虚惊，六畜宜，更动婚姻难成。</t>
  </si>
  <si>
    <t>占家宅防小口有灾，阴人有灾，宜作福，失物难寻，病者作福，求财半遂，行人有信，官事留连未达，六甲未产，六畜旺相，婚姻可合迟。</t>
  </si>
  <si>
    <t>占家宅防有灾，占身平安，失物不见，防口舌，求财耗散，行人未至，病者主重宜作福，官事未了，求官未达，六甲生女，婚姻不成，有口舌，田蚕半熟。</t>
  </si>
  <si>
    <t>占家宅添人口，占身无事，失物可寻，病者服药，求财大获，行人立至，官事有理，婚姻可成，求官得位，六甲生男迟，田蚕大熟，六畜兴旺，凡事大吉。</t>
  </si>
  <si>
    <t>占家宅不利，阴人小口不测，有灾病者凶，宜保福，求财无，行人未至，官事和劝，求官未达，田蚕半熟，六甲难产，婚姻不成，六畜宜保安。</t>
  </si>
  <si>
    <t>占家宅平稳，占身大利，失物可寻，病者得痊，求官得位，行人便至，官讼有理，求财遂意，六甲生男，田蚕大熟，婚姻可成，添人进口，六畜旺相。</t>
  </si>
  <si>
    <t>占家宅人口不盒，占身不宜出行，失物难寻，病者星辰不顺，田蚕半收，求财未遂，行人未至，婚姻难成，口舌官事失理，求官未达，六甲忧疑，六畜更变。</t>
  </si>
  <si>
    <t>占家宅平稳，占身大吉，失物不失，病者不妨，作福保吉，求财遂意，行人立至，官事有理，求官必达，六甲生男，婚姻就成，田蚕六畜兴旺，凡事大吉。</t>
  </si>
  <si>
    <t>占家宅不宁，占身宜守旧，．失物不见，官事失理，病者凶，求财未遂，婚姻不成，六甲生男有忧，六畜有损，行人防盗，凡事不利。</t>
  </si>
  <si>
    <t>占家宅阴人小口有灾，占病不妨，求财半遂，行人未至，占身守旧，求官必达，官事援慢吉，六甲生男，田蚕大熟，婚姻迟吉。</t>
  </si>
  <si>
    <t>占家宅不安，占身失脱，失物不见，阴小生灾，求财无，行人未至，六甲生男，官事失理，求官未达，出行不利，田蚕半熟，六畜损失，病者星辰不顺，久愿未还。</t>
  </si>
  <si>
    <t>占家宅防失脱，占身吉，失物急寻，行人有信，求财遂意，官事有理，婚姻可成，六甲生男，六畜兴旺，田蚕大吉。</t>
  </si>
  <si>
    <t>占家宅人口有灾，占身有口舌，失物不见，病者难痊凶，行人未至，官事宜和，求官未达，婚姻反悔，六甲生女，田蚕半收，六畜有灾。</t>
  </si>
  <si>
    <t>占家宅进人口，占身大吉宜更改，病者保福安痊，求财遂意，行人立至，官事有理，求官必达，婚姻可成，六甲生男，田蚕大熟，六畜兴旺，凡事大吉。</t>
  </si>
  <si>
    <t>占家宅人口平安，占身宜作福，官事有理，求官必达，求财半遂，婚姻难成，田蚕大熟，六甲生男，病者得痊，六畜兴旺。</t>
  </si>
  <si>
    <t>占家宅阴人小口有灾，占身防口舌、失物不见，病者作福，求财未遂，行人未至，官事失理，求官未达，婚姻不成，田蚕半熟，六畜有损，行人不利，六甲生男。</t>
  </si>
  <si>
    <t>占家宅失脱，占身宜静守旧吉，失物不见，病者作福，求财获，行人信至，官事有理，求官必达，六甲生男，婚姻吉迟，六畜田蚕大熟，凡事大吉。</t>
  </si>
  <si>
    <t>占家宅有失脱，人口生灾，占身守旧，病者重，失物不见，求财未遂，官事和劝，求官未达，婚姻不成，田蚕半熟，六畜损失，六甲生女，行人未至。</t>
  </si>
  <si>
    <t>占家宅防小人相弄，占身无事，失物要见，求财更变，行人便至，官事得理，求官必达，占病不妨，六甲生男，婚姻可成，田蚕大熟，六畜兴旺，凡事大吉。</t>
  </si>
  <si>
    <t>占家宅自身防口舌，失物不见，病者沉重，求财无，官事失理，求官未达，行人未至，六甲生女有灾，婚姻不成，田蚕六畜有悦防盗。</t>
  </si>
  <si>
    <t>占家宅人口吉，自身安，失物不失，行人半路，公讼平安，求财必遂，六甲生男，婚姻和合，求官必达，病者痊愈，田蚕大熟，六畜添进。</t>
  </si>
  <si>
    <t>占家宅人口平安，失物急寻，病者保禳不妨，先凶后吉，行人至，求财半遂，求官必达，官事不成，婚姻成，六甲生男，田蚕六畜旺相。</t>
  </si>
  <si>
    <t>占家宅只宜守旧谨慎，失物，防口舌，病者作福，求财未遂，行人未至，官事失理，婚姻难成，六甲生女，求官未达，田蚕半熟，六畜损失，走失难寻。</t>
  </si>
  <si>
    <t>占家宅人口平安，失物不见，病者保禳，求财未遂，行人未至，官事留连，求官未达，婚姻难合，六甲难产，田蚕半收，六畜保吉。</t>
  </si>
  <si>
    <t>占家宅人口不吉，占身防口舌，失物不见，占病沉重，求财未遂，行人未至，官事失理，求官未达，六甲不吉，婚姻大破，田蚕半收，六畜损失，人口作福保禳。</t>
  </si>
  <si>
    <t>占家宅人口平安，占身先有口舌，失物急寻，以后心见，求财遂意，行人便至，官事有理，求官必达，婚姻可成，六甲生男，田蚕大熟，六畜兴旺，病保禳。</t>
  </si>
  <si>
    <t>占家宅人口有灾，失物难寻，病者保福，旧愿未还，求财微利，行人未至，官事留连，六甲难产，田蚕半熟，求官未达，婚不成，六畜有灾。</t>
  </si>
  <si>
    <t>占家宅人口吉利，自身无事，失物可寻，求财遂，病者恍惚重，行人立至，官事有理，求官得位，婚姻迟，六甲生男，田蚕大熟，六畜兴旺。</t>
  </si>
  <si>
    <t>占家宅人口平安，占身吉庆，失物不失，病者自安，官事有理，求财遂意，行人有信，求官必达，六甲生男，田蚕大熟，六畜兴旺大吉，婚姻和合。</t>
  </si>
  <si>
    <t>占家宅人口不利，自身守旧谨慎，失物不见，病者缠绵作福，求财未遂，行人未至，官事不利，求官未达，婚姻不成，六甲有灾，田蚕半熟，六畜损失。</t>
  </si>
  <si>
    <t>占家宅人口昌隆，失物得见，占病作福不防，求财大遂，官事有理，行人立至，婚姻可成，六甲生男，田蚕大熟，六畜兴旺，君子加官进职。</t>
  </si>
  <si>
    <t>占家宅防失脱，自身防口舌，阴人小口有灾，失物不见，占病保福，求财夫遂，行人未至，官事不利，求官未达，婚姻难成，六甲生女虚惊，田蚕半收，六畜损失。</t>
  </si>
  <si>
    <t>占家宅自身出入吉利，失物难寻，终久见，病者服药，求财遂意，行人立至，官事有理，求官必达，六甲生男，田蚕大熟，六畜旺相，婚姻成迟。</t>
  </si>
  <si>
    <t>占家宅自身不利，失物不见，行人未至，占病作福，六甲生女有惊，田蚕不收，六畜损失，凡事不利。</t>
  </si>
  <si>
    <t>占家宅人口平安，自身出入吉利，求财得遂，行人欲至，求官得位，</t>
  </si>
  <si>
    <t>占家宅人口平安，自身有喜，失物不失，病者不妨，求财大利，行人</t>
  </si>
  <si>
    <t>占家宅人口不安，自身防小口，失物不见，占病宜作福，求财未遂，行人未至，官事失理宜和，求官未达，婚姻难成，六甲生女，田蚕半收，六畜损失。</t>
  </si>
  <si>
    <t>占家宅人口平安，自身无事，失物可寻，病者自痊，求财遂意，行人便至，官事有理，贵人扶持，求官显达，六甲生男，田蚕大熟。婚姻忽成，百事大吉。</t>
  </si>
  <si>
    <t>占家宅不盗，自身防口舌，失物难寻，病者保福，六甲生女虚惊，求财未遂，官事失理，求官未达，婚姻不成，行人未至，田蚕半收，六畜损失。</t>
  </si>
  <si>
    <t>占家宅人口有小灾不宁，自身防口舌，占失物不，行人未至，病者作福，求财未遂，官事留连，求官未达，婚姻不成，六甲生女，田蚕半收。</t>
  </si>
  <si>
    <t>占家宅人口有小灾不妨，失物可寻，自身更改吉，行人未至有信，病者保禳，求财遂意，官事宜和，求官必达，婚姻再合，六甲生男，田蚕大熟，六畜兴旺。</t>
  </si>
  <si>
    <t>占家宅阴人小口有灾，自身有口舌，失物不见，病者不安宜作福，行人未至，求官未达，求财未遂，官事虚惊，婚姻不成，六甲生女，六畜田蚕有损失。</t>
  </si>
  <si>
    <t>占家宅平安，病者立痊，六甲生男，行人立至，官有理，失物可寻，婚姻可成，出行吉利，求官必达，求财大遂，田蚕大熟，六畜兴旺，百事大吉。</t>
    <phoneticPr fontId="2" type="noConversion"/>
  </si>
  <si>
    <t>占身不宜出入，失物难寻，病者作福，行人有信未至，求财迟，小口有灾，六甲难产，官事和劝，求官未达，婚姻难合，六畜田蚕半熟。</t>
    <phoneticPr fontId="2" type="noConversion"/>
  </si>
  <si>
    <t>理直何须问上真，纵经官府不遭慎。虽然目下多惊恐，保汝平安百事伸。</t>
    <phoneticPr fontId="2" type="noConversion"/>
  </si>
  <si>
    <t>行人久无鱼雁音，愁煞家眷梦里寻。天尊殿前虔心祷，立教行人现门庭。</t>
    <phoneticPr fontId="2" type="noConversion"/>
  </si>
  <si>
    <t>昨种芝兰岂便芳，谁知嫩草不经霜。日今若得成婚眷，入舍还忧不久长。</t>
    <phoneticPr fontId="2" type="noConversion"/>
  </si>
  <si>
    <r>
      <t>开始点击</t>
    </r>
    <r>
      <rPr>
        <b/>
        <sz val="16"/>
        <color rgb="FFFF0000"/>
        <rFont val="等线"/>
        <family val="3"/>
        <charset val="134"/>
        <scheme val="minor"/>
      </rPr>
      <t>一</t>
    </r>
    <r>
      <rPr>
        <sz val="16"/>
        <color rgb="FFFF0000"/>
        <rFont val="等线"/>
        <family val="3"/>
        <charset val="134"/>
        <scheme val="minor"/>
      </rPr>
      <t>次
停止点击</t>
    </r>
    <r>
      <rPr>
        <b/>
        <sz val="16"/>
        <color rgb="FFFF0000"/>
        <rFont val="等线"/>
        <family val="3"/>
        <charset val="134"/>
        <scheme val="minor"/>
      </rPr>
      <t>六</t>
    </r>
    <r>
      <rPr>
        <sz val="16"/>
        <color rgb="FFFF0000"/>
        <rFont val="等线"/>
        <family val="3"/>
        <charset val="134"/>
        <scheme val="minor"/>
      </rPr>
      <t>次</t>
    </r>
    <phoneticPr fontId="2" type="noConversion"/>
  </si>
  <si>
    <r>
      <t>开始点击</t>
    </r>
    <r>
      <rPr>
        <b/>
        <sz val="16"/>
        <color rgb="FFFF0000"/>
        <rFont val="等线"/>
        <family val="3"/>
        <charset val="134"/>
        <scheme val="minor"/>
      </rPr>
      <t>一</t>
    </r>
    <r>
      <rPr>
        <sz val="16"/>
        <color rgb="FFFF0000"/>
        <rFont val="等线"/>
        <family val="3"/>
        <charset val="134"/>
        <scheme val="minor"/>
      </rPr>
      <t>次
停止点击</t>
    </r>
    <r>
      <rPr>
        <b/>
        <sz val="16"/>
        <color rgb="FFFF0000"/>
        <rFont val="等线"/>
        <family val="3"/>
        <charset val="134"/>
        <scheme val="minor"/>
      </rPr>
      <t>三</t>
    </r>
    <r>
      <rPr>
        <sz val="16"/>
        <color rgb="FFFF0000"/>
        <rFont val="等线"/>
        <family val="3"/>
        <charset val="134"/>
        <scheme val="minor"/>
      </rPr>
      <t>次</t>
    </r>
    <phoneticPr fontId="2" type="noConversion"/>
  </si>
  <si>
    <t>几小时-3天</t>
    <phoneticPr fontId="2" type="noConversion"/>
  </si>
  <si>
    <t>偏快，数天-两周</t>
    <phoneticPr fontId="2" type="noConversion"/>
  </si>
  <si>
    <t>中等，半月-两月</t>
    <phoneticPr fontId="2" type="noConversion"/>
  </si>
  <si>
    <t>偏久，两到半年</t>
    <phoneticPr fontId="2" type="noConversion"/>
  </si>
  <si>
    <t>拉长周期，容易延后</t>
    <phoneticPr fontId="2" type="noConversion"/>
  </si>
  <si>
    <t>长线契机，周期以年、18个月为单位，属于注定的阶段性节点，不会短期落地</t>
    <phoneticPr fontId="2" type="noConversion"/>
  </si>
  <si>
    <t>反复回溯，旧事重演，周期翻倍，容易拖到过往同款时间，频繁延期、一波三折</t>
    <phoneticPr fontId="2" type="noConversion"/>
  </si>
  <si>
    <t>时间偏短，多按天数/周算【3.21-4.20】</t>
    <phoneticPr fontId="2" type="noConversion"/>
  </si>
  <si>
    <t>周期拉长，多按月、年【4.21-5.20】</t>
    <phoneticPr fontId="2" type="noConversion"/>
  </si>
  <si>
    <t>中等周期，常以周、月计【5.21-6.20】</t>
    <phoneticPr fontId="2" type="noConversion"/>
  </si>
  <si>
    <t>时间偏短，多按天数/周算【6.21-7.21】</t>
    <phoneticPr fontId="2" type="noConversion"/>
  </si>
  <si>
    <t>周期拉长，多按月、年【7.22-8.22】</t>
    <phoneticPr fontId="2" type="noConversion"/>
  </si>
  <si>
    <t>中等周期，常以周、月计【8.23-9.22】</t>
    <phoneticPr fontId="2" type="noConversion"/>
  </si>
  <si>
    <t>时间偏短，多按天数/周算【9.23-10.22】</t>
    <phoneticPr fontId="2" type="noConversion"/>
  </si>
  <si>
    <t>周期拉长，多按月、年【10.23-11.22】</t>
    <phoneticPr fontId="2" type="noConversion"/>
  </si>
  <si>
    <t>中等周期，常以周、月计【11.23-12.21】</t>
    <phoneticPr fontId="2" type="noConversion"/>
  </si>
  <si>
    <t>时间偏短，多按天数/周算【12.22-1.19】</t>
    <phoneticPr fontId="2" type="noConversion"/>
  </si>
  <si>
    <t>周期拉长，多按月、年【1.20-2.18】</t>
    <phoneticPr fontId="2" type="noConversion"/>
  </si>
  <si>
    <t>中等周期，常以周、月计【2.19-3.20】</t>
    <phoneticPr fontId="2" type="noConversion"/>
  </si>
  <si>
    <t>进度顺畅，时长减半</t>
    <phoneticPr fontId="2" type="noConversion"/>
  </si>
  <si>
    <t>正常节奏，数字不变</t>
    <phoneticPr fontId="2" type="noConversion"/>
  </si>
  <si>
    <t>易有变数，时长翻倍（容易一波三折，多留意下一个时间窗口）</t>
    <phoneticPr fontId="2" type="noConversion"/>
  </si>
  <si>
    <t>基础时长</t>
    <phoneticPr fontId="2" type="noConversion"/>
  </si>
  <si>
    <t>计量单位</t>
    <phoneticPr fontId="2" type="noConversion"/>
  </si>
  <si>
    <t>调整数字</t>
    <phoneticPr fontId="2" type="noConversion"/>
  </si>
  <si>
    <t>第三十签</t>
    <phoneticPr fontId="2" type="noConversion"/>
  </si>
  <si>
    <t>逆位星币侍从</t>
    <phoneticPr fontId="2" type="noConversion"/>
  </si>
  <si>
    <t>魔羯座 ♑</t>
    <phoneticPr fontId="2" type="noConversion"/>
  </si>
  <si>
    <t>鸟（Birds）</t>
    <phoneticPr fontId="2" type="noConversion"/>
  </si>
  <si>
    <t>ᛚ Laguz（水/湖）逆位</t>
  </si>
  <si>
    <t>ᚹ Wunjo（喜悦）逆位</t>
  </si>
  <si>
    <t>ᚹ Wunjo（喜悦）逆位</t>
    <phoneticPr fontId="2" type="noConversion"/>
  </si>
  <si>
    <t>奇迹1</t>
    <phoneticPr fontId="2" type="noConversion"/>
  </si>
  <si>
    <t>奇迹2</t>
    <phoneticPr fontId="2" type="noConversion"/>
  </si>
  <si>
    <t>奇迹3</t>
  </si>
  <si>
    <t>奇迹4</t>
  </si>
  <si>
    <t>奇迹5</t>
  </si>
  <si>
    <t>奇迹6</t>
  </si>
  <si>
    <t>奇迹7</t>
  </si>
  <si>
    <t>奇迹8</t>
  </si>
  <si>
    <t>奇迹9</t>
  </si>
  <si>
    <t>奇迹10</t>
  </si>
  <si>
    <t>逆位奇迹1</t>
    <phoneticPr fontId="2" type="noConversion"/>
  </si>
  <si>
    <t>逆位奇迹2</t>
    <phoneticPr fontId="2" type="noConversion"/>
  </si>
  <si>
    <t>逆位奇迹3</t>
    <phoneticPr fontId="2" type="noConversion"/>
  </si>
  <si>
    <t>逆位奇迹4</t>
    <phoneticPr fontId="2" type="noConversion"/>
  </si>
  <si>
    <t>逆位奇迹5</t>
    <phoneticPr fontId="2" type="noConversion"/>
  </si>
  <si>
    <t>逆位奇迹6</t>
    <phoneticPr fontId="2" type="noConversion"/>
  </si>
  <si>
    <t>逆位奇迹7</t>
    <phoneticPr fontId="2" type="noConversion"/>
  </si>
  <si>
    <t>逆位奇迹8</t>
    <phoneticPr fontId="2" type="noConversion"/>
  </si>
  <si>
    <t>逆位奇迹9</t>
    <phoneticPr fontId="2" type="noConversion"/>
  </si>
  <si>
    <t>逆位奇迹10</t>
    <phoneticPr fontId="2" type="noConversion"/>
  </si>
  <si>
    <t>迭代</t>
    <phoneticPr fontId="2" type="noConversion"/>
  </si>
  <si>
    <t>逆位迭代</t>
    <phoneticPr fontId="2" type="noConversion"/>
  </si>
  <si>
    <t>千星永夜</t>
    <phoneticPr fontId="2" type="noConversion"/>
  </si>
  <si>
    <t>逆位千星永夜</t>
    <phoneticPr fontId="2" type="noConversion"/>
  </si>
  <si>
    <t>溯光极昼</t>
  </si>
  <si>
    <t>逆位溯光极昼</t>
    <phoneticPr fontId="2" type="noConversion"/>
  </si>
  <si>
    <t>灰天夜翳</t>
  </si>
  <si>
    <t>逆位灰天夜翳</t>
    <phoneticPr fontId="2" type="noConversion"/>
  </si>
  <si>
    <t>遏灾除病</t>
  </si>
  <si>
    <t>逆位遏灾除病</t>
    <phoneticPr fontId="2" type="noConversion"/>
  </si>
  <si>
    <t>净天昼衡</t>
  </si>
  <si>
    <t>逆位净天昼衡</t>
    <phoneticPr fontId="2" type="noConversion"/>
  </si>
  <si>
    <t>真空秒有</t>
    <phoneticPr fontId="2" type="noConversion"/>
  </si>
  <si>
    <t>守望者</t>
    <phoneticPr fontId="2" type="noConversion"/>
  </si>
  <si>
    <t>逆位守望者</t>
    <phoneticPr fontId="2" type="noConversion"/>
  </si>
  <si>
    <t>幸运</t>
    <phoneticPr fontId="2" type="noConversion"/>
  </si>
  <si>
    <t>黑</t>
    <phoneticPr fontId="2" type="noConversion"/>
  </si>
  <si>
    <t>白</t>
    <phoneticPr fontId="2" type="noConversion"/>
  </si>
  <si>
    <t>逆位幸运</t>
    <phoneticPr fontId="2" type="noConversion"/>
  </si>
  <si>
    <t>逆位黑</t>
    <phoneticPr fontId="2" type="noConversion"/>
  </si>
  <si>
    <t>逆位白</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</si>
</sst>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d\ h:mm;@"/>
  </numFmts>
  <fonts count="21">
    <font>
      <sz val="11"/>
      <color theme="1"/>
      <name val="等线"/>
      <family val="2"/>
      <charset val="134"/>
      <scheme val="minor"/>
    </font>
    <font>
      <sz val="11"/>
      <color indexed="8"/>
      <name val="宋体"/>
      <charset val="134"/>
    </font>
    <font>
      <sz val="9"/>
      <name val="等线"/>
      <family val="2"/>
      <charset val="134"/>
      <scheme val="minor"/>
    </font>
    <font>
      <sz val="11"/>
      <color rgb="FF000000"/>
      <name val="等线"/>
      <family val="3"/>
      <charset val="134"/>
    </font>
    <font>
      <sz val="11"/>
      <color indexed="8"/>
      <name val="宋体"/>
      <family val="3"/>
      <charset val="134"/>
    </font>
    <font>
      <sz val="11"/>
      <name val="等线"/>
      <family val="3"/>
      <charset val="134"/>
      <scheme val="minor"/>
    </font>
    <font>
      <sz val="11"/>
      <color theme="1"/>
      <name val="等线"/>
      <family val="2"/>
      <scheme val="minor"/>
    </font>
    <font>
      <sz val="11"/>
      <color theme="1"/>
      <name val="Segoe UI Symbol"/>
      <family val="2"/>
    </font>
    <font>
      <sz val="11"/>
      <name val="等线"/>
      <family val="3"/>
      <charset val="134"/>
    </font>
    <font>
      <sz val="11"/>
      <color theme="1"/>
      <name val="等线"/>
      <family val="2"/>
      <charset val="134"/>
      <scheme val="minor"/>
    </font>
    <font>
      <sz val="11"/>
      <color rgb="FFFF0000"/>
      <name val="等线"/>
      <family val="2"/>
      <charset val="134"/>
      <scheme val="minor"/>
    </font>
    <font>
      <sz val="11"/>
      <color rgb="FF000000"/>
      <name val="Segoe UI Symbol"/>
      <family val="3"/>
      <charset val="1"/>
    </font>
    <font>
      <sz val="11"/>
      <color theme="1"/>
      <name val="Segoe UI Symbol"/>
      <family val="2"/>
      <charset val="1"/>
    </font>
    <font>
      <sz val="11"/>
      <color rgb="FFFF0000"/>
      <name val="等线"/>
      <family val="3"/>
      <charset val="134"/>
      <scheme val="minor"/>
    </font>
    <font>
      <sz val="11"/>
      <color theme="1"/>
      <name val="等线"/>
      <family val="3"/>
      <charset val="134"/>
      <scheme val="minor"/>
    </font>
    <font>
      <sz val="10.5"/>
      <color theme="1"/>
      <name val="宋体"/>
      <family val="3"/>
      <charset val="134"/>
    </font>
    <font>
      <sz val="11"/>
      <color theme="1"/>
      <name val="宋体"/>
      <family val="3"/>
      <charset val="134"/>
    </font>
    <font>
      <sz val="14"/>
      <color theme="1"/>
      <name val="宋体"/>
      <family val="3"/>
      <charset val="134"/>
    </font>
    <font>
      <sz val="16"/>
      <color rgb="FFFF0000"/>
      <name val="隶书"/>
      <family val="3"/>
      <charset val="134"/>
    </font>
    <font>
      <sz val="16"/>
      <color rgb="FFFF0000"/>
      <name val="等线"/>
      <family val="3"/>
      <charset val="134"/>
      <scheme val="minor"/>
    </font>
    <font>
      <b/>
      <sz val="16"/>
      <color rgb="FFFF0000"/>
      <name val="等线"/>
      <family val="3"/>
      <charset val="134"/>
      <scheme val="minor"/>
    </font>
  </fonts>
  <fills count="25">
    <fill>
      <patternFill patternType="none"/>
    </fill>
    <fill>
      <patternFill patternType="gray125"/>
    </fill>
    <fill>
      <patternFill patternType="solid">
        <fgColor theme="3" tint="0.89999084444715716"/>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rgb="FFF6FBC9"/>
        <bgColor indexed="64"/>
      </patternFill>
    </fill>
    <fill>
      <patternFill patternType="solid">
        <fgColor theme="7" tint="0.79998168889431442"/>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5" tint="0.79998168889431442"/>
        <bgColor indexed="65"/>
      </patternFill>
    </fill>
    <fill>
      <patternFill patternType="solid">
        <fgColor theme="5" tint="0.39997558519241921"/>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8" tint="0.39997558519241921"/>
        <bgColor indexed="65"/>
      </patternFill>
    </fill>
    <fill>
      <patternFill patternType="solid">
        <fgColor theme="9" tint="0.79998168889431442"/>
        <bgColor indexed="65"/>
      </patternFill>
    </fill>
    <fill>
      <patternFill patternType="solid">
        <fgColor theme="9" tint="0.39997558519241921"/>
        <bgColor indexed="65"/>
      </patternFill>
    </fill>
    <fill>
      <patternFill patternType="solid">
        <fgColor rgb="FFEBE87D"/>
        <bgColor indexed="64"/>
      </patternFill>
    </fill>
    <fill>
      <patternFill patternType="solid">
        <fgColor theme="2" tint="-9.9978637043366805E-2"/>
        <bgColor indexed="64"/>
      </patternFill>
    </fill>
    <fill>
      <patternFill patternType="solid">
        <fgColor rgb="FFFFCCFF"/>
        <bgColor indexed="64"/>
      </patternFill>
    </fill>
    <fill>
      <patternFill patternType="solid">
        <fgColor rgb="FFEAD2FA"/>
        <bgColor indexed="64"/>
      </patternFill>
    </fill>
    <fill>
      <patternFill patternType="solid">
        <fgColor rgb="FFB7FBDC"/>
        <bgColor indexed="64"/>
      </patternFill>
    </fill>
    <fill>
      <patternFill patternType="solid">
        <fgColor rgb="FFFFB9B9"/>
        <bgColor indexed="64"/>
      </patternFill>
    </fill>
  </fills>
  <borders count="58">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right style="medium">
        <color indexed="64"/>
      </right>
      <top style="thin">
        <color indexed="64"/>
      </top>
      <bottom/>
      <diagonal/>
    </border>
    <border>
      <left/>
      <right style="medium">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right style="thin">
        <color indexed="64"/>
      </right>
      <top style="medium">
        <color indexed="64"/>
      </top>
      <bottom/>
      <diagonal/>
    </border>
    <border>
      <left style="thin">
        <color indexed="64"/>
      </left>
      <right/>
      <top style="medium">
        <color indexed="64"/>
      </top>
      <bottom/>
      <diagonal/>
    </border>
    <border>
      <left/>
      <right style="thin">
        <color indexed="64"/>
      </right>
      <top/>
      <bottom style="medium">
        <color indexed="64"/>
      </bottom>
      <diagonal/>
    </border>
    <border>
      <left style="thin">
        <color indexed="64"/>
      </left>
      <right style="medium">
        <color indexed="64"/>
      </right>
      <top style="medium">
        <color indexed="64"/>
      </top>
      <bottom/>
      <diagonal/>
    </border>
  </borders>
  <cellStyleXfs count="12">
    <xf numFmtId="0" fontId="0" fillId="0" borderId="0">
      <alignment vertical="center"/>
    </xf>
    <xf numFmtId="0" fontId="9" fillId="9" borderId="0" applyNumberFormat="0" applyBorder="0" applyAlignment="0" applyProtection="0">
      <alignment vertical="center"/>
    </xf>
    <xf numFmtId="0" fontId="9" fillId="10" borderId="0" applyNumberFormat="0" applyBorder="0" applyAlignment="0" applyProtection="0">
      <alignment vertical="center"/>
    </xf>
    <xf numFmtId="0" fontId="9" fillId="11" borderId="0" applyNumberFormat="0" applyBorder="0" applyAlignment="0" applyProtection="0">
      <alignment vertical="center"/>
    </xf>
    <xf numFmtId="0" fontId="9" fillId="12" borderId="0" applyNumberFormat="0" applyBorder="0" applyAlignment="0" applyProtection="0">
      <alignment vertical="center"/>
    </xf>
    <xf numFmtId="0" fontId="9" fillId="13" borderId="0" applyNumberFormat="0" applyBorder="0" applyAlignment="0" applyProtection="0">
      <alignment vertical="center"/>
    </xf>
    <xf numFmtId="0" fontId="9" fillId="14" borderId="0" applyNumberFormat="0" applyBorder="0" applyAlignment="0" applyProtection="0">
      <alignment vertical="center"/>
    </xf>
    <xf numFmtId="0" fontId="9" fillId="15" borderId="0" applyNumberFormat="0" applyBorder="0" applyAlignment="0" applyProtection="0">
      <alignment vertical="center"/>
    </xf>
    <xf numFmtId="0" fontId="9" fillId="16" borderId="0" applyNumberFormat="0" applyBorder="0" applyAlignment="0" applyProtection="0">
      <alignment vertical="center"/>
    </xf>
    <xf numFmtId="0" fontId="9" fillId="17" borderId="0" applyNumberFormat="0" applyBorder="0" applyAlignment="0" applyProtection="0">
      <alignment vertical="center"/>
    </xf>
    <xf numFmtId="0" fontId="9" fillId="18" borderId="0" applyNumberFormat="0" applyBorder="0" applyAlignment="0" applyProtection="0">
      <alignment vertical="center"/>
    </xf>
    <xf numFmtId="0" fontId="14" fillId="0" borderId="0"/>
  </cellStyleXfs>
  <cellXfs count="277">
    <xf numFmtId="0" fontId="0" fillId="0" borderId="0" xfId="0">
      <alignment vertical="center"/>
    </xf>
    <xf numFmtId="0" fontId="1" fillId="0" borderId="0" xfId="0" applyFont="1">
      <alignment vertical="center"/>
    </xf>
    <xf numFmtId="0" fontId="1" fillId="0" borderId="0" xfId="0" applyFont="1" applyAlignment="1">
      <alignment horizontal="left" vertical="top"/>
    </xf>
    <xf numFmtId="0" fontId="0" fillId="0" borderId="0" xfId="0" applyAlignment="1">
      <alignment horizontal="left" vertical="top"/>
    </xf>
    <xf numFmtId="0" fontId="4" fillId="0" borderId="0" xfId="0" applyFont="1">
      <alignment vertical="center"/>
    </xf>
    <xf numFmtId="0" fontId="0" fillId="0" borderId="1" xfId="0" applyBorder="1">
      <alignment vertical="center"/>
    </xf>
    <xf numFmtId="0" fontId="5" fillId="0" borderId="1" xfId="0" applyFont="1" applyBorder="1">
      <alignment vertical="center"/>
    </xf>
    <xf numFmtId="0" fontId="0" fillId="0" borderId="3" xfId="0" applyBorder="1">
      <alignment vertical="center"/>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0" fontId="0" fillId="0" borderId="10" xfId="0" applyBorder="1">
      <alignment vertical="center"/>
    </xf>
    <xf numFmtId="0" fontId="0" fillId="0" borderId="11" xfId="0" applyBorder="1">
      <alignment vertical="center"/>
    </xf>
    <xf numFmtId="0" fontId="0" fillId="0" borderId="12" xfId="0" applyBorder="1">
      <alignment vertical="center"/>
    </xf>
    <xf numFmtId="0" fontId="0" fillId="0" borderId="13" xfId="0" applyBorder="1">
      <alignment vertical="center"/>
    </xf>
    <xf numFmtId="0" fontId="6" fillId="0" borderId="3" xfId="0" applyFont="1" applyBorder="1">
      <alignment vertical="center"/>
    </xf>
    <xf numFmtId="0" fontId="0" fillId="0" borderId="2" xfId="0" applyBorder="1">
      <alignment vertical="center"/>
    </xf>
    <xf numFmtId="0" fontId="6" fillId="0" borderId="4" xfId="0" applyFont="1" applyBorder="1">
      <alignment vertical="center"/>
    </xf>
    <xf numFmtId="0" fontId="6" fillId="0" borderId="2" xfId="0" applyFont="1" applyBorder="1">
      <alignment vertical="center"/>
    </xf>
    <xf numFmtId="176" fontId="0" fillId="0" borderId="0" xfId="0" applyNumberFormat="1">
      <alignment vertical="center"/>
    </xf>
    <xf numFmtId="0" fontId="7" fillId="0" borderId="4" xfId="0" applyFont="1" applyBorder="1">
      <alignment vertical="center"/>
    </xf>
    <xf numFmtId="0" fontId="7" fillId="0" borderId="3" xfId="0" applyFont="1" applyBorder="1">
      <alignment vertical="center"/>
    </xf>
    <xf numFmtId="0" fontId="0" fillId="2" borderId="18" xfId="0" applyFill="1" applyBorder="1">
      <alignment vertical="center"/>
    </xf>
    <xf numFmtId="0" fontId="0" fillId="2" borderId="19" xfId="0" applyFill="1" applyBorder="1">
      <alignment vertical="center"/>
    </xf>
    <xf numFmtId="0" fontId="0" fillId="2" borderId="20" xfId="0" applyFill="1" applyBorder="1">
      <alignment vertical="center"/>
    </xf>
    <xf numFmtId="0" fontId="0" fillId="3" borderId="18" xfId="0" applyFill="1" applyBorder="1">
      <alignment vertical="center"/>
    </xf>
    <xf numFmtId="0" fontId="0" fillId="3" borderId="19" xfId="0" applyFill="1" applyBorder="1">
      <alignment vertical="center"/>
    </xf>
    <xf numFmtId="0" fontId="0" fillId="3" borderId="20" xfId="0" applyFill="1" applyBorder="1">
      <alignment vertical="center"/>
    </xf>
    <xf numFmtId="0" fontId="0" fillId="4" borderId="21" xfId="0" applyFill="1" applyBorder="1">
      <alignment vertical="center"/>
    </xf>
    <xf numFmtId="0" fontId="0" fillId="4" borderId="19" xfId="0" applyFill="1" applyBorder="1">
      <alignment vertical="center"/>
    </xf>
    <xf numFmtId="0" fontId="0" fillId="4" borderId="20" xfId="0" applyFill="1" applyBorder="1">
      <alignment vertical="center"/>
    </xf>
    <xf numFmtId="0" fontId="0" fillId="3" borderId="23" xfId="0" applyFill="1" applyBorder="1" applyAlignment="1">
      <alignment horizontal="center" vertical="center"/>
    </xf>
    <xf numFmtId="0" fontId="0" fillId="4" borderId="17" xfId="0" applyFill="1" applyBorder="1" applyAlignment="1">
      <alignment horizontal="center" vertical="center"/>
    </xf>
    <xf numFmtId="0" fontId="0" fillId="3" borderId="22" xfId="0" applyFill="1" applyBorder="1" applyAlignment="1">
      <alignment horizontal="center" vertical="center"/>
    </xf>
    <xf numFmtId="0" fontId="0" fillId="4" borderId="15" xfId="0" applyFill="1" applyBorder="1" applyAlignment="1">
      <alignment horizontal="center" vertical="center"/>
    </xf>
    <xf numFmtId="0" fontId="0" fillId="0" borderId="0" xfId="0" applyAlignment="1">
      <alignment horizontal="center" vertical="center"/>
    </xf>
    <xf numFmtId="0" fontId="0" fillId="3" borderId="1" xfId="0" applyFill="1" applyBorder="1" applyAlignment="1">
      <alignment horizontal="center" vertical="center"/>
    </xf>
    <xf numFmtId="0" fontId="0" fillId="4" borderId="22" xfId="0" applyFill="1" applyBorder="1" applyAlignment="1">
      <alignment horizontal="center" vertical="center"/>
    </xf>
    <xf numFmtId="0" fontId="0" fillId="4" borderId="1" xfId="0" applyFill="1" applyBorder="1" applyAlignment="1">
      <alignment horizontal="center" vertical="center"/>
    </xf>
    <xf numFmtId="0" fontId="0" fillId="4" borderId="23" xfId="0" applyFill="1" applyBorder="1" applyAlignment="1">
      <alignment horizontal="center" vertical="center"/>
    </xf>
    <xf numFmtId="0" fontId="0" fillId="7" borderId="22" xfId="0" applyFill="1" applyBorder="1" applyAlignment="1">
      <alignment horizontal="center" vertical="center"/>
    </xf>
    <xf numFmtId="0" fontId="0" fillId="7" borderId="1" xfId="0" applyFill="1" applyBorder="1" applyAlignment="1">
      <alignment horizontal="center" vertical="center"/>
    </xf>
    <xf numFmtId="0" fontId="0" fillId="7" borderId="23" xfId="0" applyFill="1" applyBorder="1" applyAlignment="1">
      <alignment horizontal="center" vertical="center"/>
    </xf>
    <xf numFmtId="0" fontId="0" fillId="8" borderId="1" xfId="0" applyFill="1" applyBorder="1" applyAlignment="1">
      <alignment horizontal="center" vertical="center"/>
    </xf>
    <xf numFmtId="0" fontId="0" fillId="8" borderId="23" xfId="0" applyFill="1" applyBorder="1" applyAlignment="1">
      <alignment horizontal="center" vertical="center"/>
    </xf>
    <xf numFmtId="0" fontId="0" fillId="0" borderId="0" xfId="0" applyAlignment="1">
      <alignment horizontal="left" vertical="center"/>
    </xf>
    <xf numFmtId="0" fontId="0" fillId="3" borderId="15" xfId="0" applyFill="1" applyBorder="1" applyAlignment="1">
      <alignment horizontal="left" vertical="center"/>
    </xf>
    <xf numFmtId="0" fontId="0" fillId="3" borderId="25" xfId="0" applyFill="1" applyBorder="1" applyAlignment="1">
      <alignment horizontal="left" vertical="center"/>
    </xf>
    <xf numFmtId="0" fontId="0" fillId="4" borderId="25" xfId="0" applyFill="1" applyBorder="1" applyAlignment="1">
      <alignment horizontal="left" vertical="center"/>
    </xf>
    <xf numFmtId="0" fontId="0" fillId="7" borderId="25" xfId="0" applyFill="1" applyBorder="1" applyAlignment="1">
      <alignment horizontal="left" vertical="center"/>
    </xf>
    <xf numFmtId="0" fontId="0" fillId="8" borderId="25" xfId="0" applyFill="1" applyBorder="1" applyAlignment="1">
      <alignment horizontal="left" vertical="center"/>
    </xf>
    <xf numFmtId="0" fontId="0" fillId="8" borderId="17" xfId="0" applyFill="1" applyBorder="1" applyAlignment="1">
      <alignment horizontal="left" vertical="center"/>
    </xf>
    <xf numFmtId="0" fontId="0" fillId="0" borderId="1" xfId="0" applyBorder="1" applyAlignment="1">
      <alignment horizontal="right" vertical="center"/>
    </xf>
    <xf numFmtId="0" fontId="0" fillId="0" borderId="1" xfId="0" applyBorder="1" applyAlignment="1">
      <alignment horizontal="left" vertical="center"/>
    </xf>
    <xf numFmtId="0" fontId="9" fillId="14" borderId="1" xfId="6" applyBorder="1">
      <alignment vertical="center"/>
    </xf>
    <xf numFmtId="0" fontId="9" fillId="11" borderId="1" xfId="3" applyBorder="1">
      <alignment vertical="center"/>
    </xf>
    <xf numFmtId="0" fontId="0" fillId="2" borderId="1" xfId="0" applyFill="1" applyBorder="1" applyAlignment="1">
      <alignment horizontal="center" vertical="center"/>
    </xf>
    <xf numFmtId="0" fontId="0" fillId="4" borderId="28" xfId="0" applyFill="1" applyBorder="1">
      <alignment vertical="center"/>
    </xf>
    <xf numFmtId="0" fontId="0" fillId="5" borderId="28" xfId="0" applyFill="1" applyBorder="1">
      <alignment vertical="center"/>
    </xf>
    <xf numFmtId="0" fontId="0" fillId="3" borderId="28" xfId="0" applyFill="1" applyBorder="1">
      <alignment vertical="center"/>
    </xf>
    <xf numFmtId="0" fontId="0" fillId="6" borderId="28" xfId="0" applyFill="1" applyBorder="1">
      <alignment vertical="center"/>
    </xf>
    <xf numFmtId="0" fontId="0" fillId="7" borderId="28" xfId="0" applyFill="1" applyBorder="1">
      <alignment vertical="center"/>
    </xf>
    <xf numFmtId="0" fontId="0" fillId="4" borderId="29" xfId="0" applyFill="1" applyBorder="1">
      <alignment vertical="center"/>
    </xf>
    <xf numFmtId="0" fontId="0" fillId="4" borderId="30" xfId="0" applyFill="1" applyBorder="1">
      <alignment vertical="center"/>
    </xf>
    <xf numFmtId="0" fontId="0" fillId="5" borderId="29" xfId="0" applyFill="1" applyBorder="1">
      <alignment vertical="center"/>
    </xf>
    <xf numFmtId="0" fontId="0" fillId="5" borderId="30" xfId="0" applyFill="1" applyBorder="1">
      <alignment vertical="center"/>
    </xf>
    <xf numFmtId="0" fontId="0" fillId="3" borderId="29" xfId="0" applyFill="1" applyBorder="1">
      <alignment vertical="center"/>
    </xf>
    <xf numFmtId="0" fontId="0" fillId="3" borderId="30" xfId="0" applyFill="1" applyBorder="1">
      <alignment vertical="center"/>
    </xf>
    <xf numFmtId="0" fontId="0" fillId="6" borderId="29" xfId="0" applyFill="1" applyBorder="1">
      <alignment vertical="center"/>
    </xf>
    <xf numFmtId="0" fontId="0" fillId="6" borderId="30" xfId="0" applyFill="1" applyBorder="1">
      <alignment vertical="center"/>
    </xf>
    <xf numFmtId="0" fontId="0" fillId="7" borderId="29" xfId="0" applyFill="1" applyBorder="1">
      <alignment vertical="center"/>
    </xf>
    <xf numFmtId="0" fontId="0" fillId="7" borderId="30" xfId="0" applyFill="1" applyBorder="1">
      <alignment vertical="center"/>
    </xf>
    <xf numFmtId="0" fontId="0" fillId="5" borderId="22" xfId="0" applyFill="1" applyBorder="1" applyAlignment="1">
      <alignment horizontal="center" vertical="center"/>
    </xf>
    <xf numFmtId="0" fontId="0" fillId="5" borderId="15" xfId="0" applyFill="1" applyBorder="1" applyAlignment="1">
      <alignment horizontal="center" vertical="center"/>
    </xf>
    <xf numFmtId="0" fontId="0" fillId="5" borderId="23" xfId="0" applyFill="1" applyBorder="1" applyAlignment="1">
      <alignment horizontal="center" vertical="center"/>
    </xf>
    <xf numFmtId="0" fontId="0" fillId="5" borderId="17" xfId="0" applyFill="1" applyBorder="1" applyAlignment="1">
      <alignment horizontal="center"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0" fillId="6" borderId="22" xfId="0" applyFill="1" applyBorder="1" applyAlignment="1">
      <alignment horizontal="center" vertical="center"/>
    </xf>
    <xf numFmtId="0" fontId="0" fillId="6" borderId="15" xfId="0" applyFill="1" applyBorder="1" applyAlignment="1">
      <alignment horizontal="center" vertical="center"/>
    </xf>
    <xf numFmtId="0" fontId="0" fillId="6" borderId="23" xfId="0" applyFill="1" applyBorder="1" applyAlignment="1">
      <alignment horizontal="center" vertical="center"/>
    </xf>
    <xf numFmtId="0" fontId="0" fillId="6" borderId="17" xfId="0" applyFill="1" applyBorder="1" applyAlignment="1">
      <alignment horizontal="center" vertical="center"/>
    </xf>
    <xf numFmtId="0" fontId="0" fillId="7" borderId="15" xfId="0" applyFill="1" applyBorder="1" applyAlignment="1">
      <alignment horizontal="center" vertical="center"/>
    </xf>
    <xf numFmtId="0" fontId="0" fillId="7" borderId="17" xfId="0" applyFill="1" applyBorder="1" applyAlignment="1">
      <alignment horizontal="center" vertical="center"/>
    </xf>
    <xf numFmtId="0" fontId="13" fillId="0" borderId="0" xfId="0" applyFont="1">
      <alignment vertical="center"/>
    </xf>
    <xf numFmtId="0" fontId="13" fillId="0" borderId="0" xfId="0" applyFont="1" applyAlignment="1">
      <alignment horizontal="center" vertical="center"/>
    </xf>
    <xf numFmtId="0" fontId="13" fillId="0" borderId="1" xfId="0" applyFont="1" applyBorder="1">
      <alignment vertical="center"/>
    </xf>
    <xf numFmtId="0" fontId="9" fillId="12" borderId="27" xfId="4" applyBorder="1">
      <alignment vertical="center"/>
    </xf>
    <xf numFmtId="0" fontId="9" fillId="10" borderId="27" xfId="2" applyBorder="1">
      <alignment vertical="center"/>
    </xf>
    <xf numFmtId="0" fontId="9" fillId="18" borderId="27" xfId="10" applyBorder="1">
      <alignment vertical="center"/>
    </xf>
    <xf numFmtId="0" fontId="9" fillId="16" borderId="27" xfId="8" applyBorder="1">
      <alignment vertical="center"/>
    </xf>
    <xf numFmtId="0" fontId="0" fillId="19" borderId="27" xfId="0" applyFill="1" applyBorder="1">
      <alignment vertical="center"/>
    </xf>
    <xf numFmtId="0" fontId="4" fillId="0" borderId="0" xfId="0" applyFont="1" applyAlignment="1">
      <alignment horizontal="left" vertical="top"/>
    </xf>
    <xf numFmtId="0" fontId="9" fillId="9" borderId="18" xfId="1" applyBorder="1">
      <alignment vertical="center"/>
    </xf>
    <xf numFmtId="0" fontId="9" fillId="9" borderId="19" xfId="1" applyBorder="1">
      <alignment vertical="center"/>
    </xf>
    <xf numFmtId="0" fontId="9" fillId="9" borderId="20" xfId="1" applyBorder="1">
      <alignment vertical="center"/>
    </xf>
    <xf numFmtId="0" fontId="9" fillId="13" borderId="18" xfId="5" applyBorder="1">
      <alignment vertical="center"/>
    </xf>
    <xf numFmtId="0" fontId="9" fillId="13" borderId="19" xfId="5" applyBorder="1">
      <alignment vertical="center"/>
    </xf>
    <xf numFmtId="0" fontId="9" fillId="13" borderId="20" xfId="5" applyBorder="1">
      <alignment vertical="center"/>
    </xf>
    <xf numFmtId="0" fontId="9" fillId="11" borderId="18" xfId="3" applyBorder="1">
      <alignment vertical="center"/>
    </xf>
    <xf numFmtId="0" fontId="9" fillId="11" borderId="19" xfId="3" applyBorder="1">
      <alignment vertical="center"/>
    </xf>
    <xf numFmtId="0" fontId="9" fillId="11" borderId="20" xfId="3" applyBorder="1">
      <alignment vertical="center"/>
    </xf>
    <xf numFmtId="0" fontId="9" fillId="15" borderId="2" xfId="7" applyBorder="1" applyAlignment="1">
      <alignment horizontal="center" vertical="center"/>
    </xf>
    <xf numFmtId="0" fontId="9" fillId="9" borderId="2" xfId="1" applyBorder="1">
      <alignment vertical="center"/>
    </xf>
    <xf numFmtId="0" fontId="9" fillId="15" borderId="33" xfId="7" applyBorder="1" applyAlignment="1">
      <alignment horizontal="center" vertical="center"/>
    </xf>
    <xf numFmtId="0" fontId="9" fillId="11" borderId="3" xfId="3" applyBorder="1">
      <alignment vertical="center"/>
    </xf>
    <xf numFmtId="0" fontId="9" fillId="11" borderId="27" xfId="3" applyBorder="1">
      <alignment vertical="center"/>
    </xf>
    <xf numFmtId="0" fontId="9" fillId="11" borderId="4" xfId="3" applyBorder="1">
      <alignment vertical="center"/>
    </xf>
    <xf numFmtId="0" fontId="9" fillId="11" borderId="34" xfId="3" applyBorder="1">
      <alignment vertical="center"/>
    </xf>
    <xf numFmtId="0" fontId="9" fillId="11" borderId="35" xfId="3" applyBorder="1">
      <alignment vertical="center"/>
    </xf>
    <xf numFmtId="0" fontId="9" fillId="11" borderId="36" xfId="3" applyBorder="1">
      <alignment vertical="center"/>
    </xf>
    <xf numFmtId="0" fontId="9" fillId="14" borderId="3" xfId="6" applyBorder="1">
      <alignment vertical="center"/>
    </xf>
    <xf numFmtId="0" fontId="9" fillId="14" borderId="18" xfId="6" applyBorder="1">
      <alignment vertical="center"/>
    </xf>
    <xf numFmtId="0" fontId="9" fillId="14" borderId="27" xfId="6" applyBorder="1">
      <alignment vertical="center"/>
    </xf>
    <xf numFmtId="0" fontId="9" fillId="14" borderId="4" xfId="6" applyBorder="1">
      <alignment vertical="center"/>
    </xf>
    <xf numFmtId="0" fontId="9" fillId="14" borderId="19" xfId="6" applyBorder="1">
      <alignment vertical="center"/>
    </xf>
    <xf numFmtId="0" fontId="9" fillId="14" borderId="34" xfId="6" applyBorder="1">
      <alignment vertical="center"/>
    </xf>
    <xf numFmtId="0" fontId="9" fillId="14" borderId="5" xfId="6" applyBorder="1">
      <alignment vertical="center"/>
    </xf>
    <xf numFmtId="0" fontId="9" fillId="14" borderId="20" xfId="6" applyBorder="1">
      <alignment vertical="center"/>
    </xf>
    <xf numFmtId="0" fontId="9" fillId="14" borderId="28" xfId="6" applyBorder="1">
      <alignment vertical="center"/>
    </xf>
    <xf numFmtId="0" fontId="9" fillId="15" borderId="4" xfId="7" applyBorder="1">
      <alignment vertical="center"/>
    </xf>
    <xf numFmtId="0" fontId="9" fillId="15" borderId="21" xfId="7" applyBorder="1">
      <alignment vertical="center"/>
    </xf>
    <xf numFmtId="0" fontId="9" fillId="15" borderId="37" xfId="7" applyBorder="1">
      <alignment vertical="center"/>
    </xf>
    <xf numFmtId="0" fontId="9" fillId="15" borderId="19" xfId="7" applyBorder="1">
      <alignment vertical="center"/>
    </xf>
    <xf numFmtId="0" fontId="9" fillId="15" borderId="34" xfId="7" applyBorder="1">
      <alignment vertical="center"/>
    </xf>
    <xf numFmtId="0" fontId="9" fillId="15" borderId="5" xfId="7" applyBorder="1">
      <alignment vertical="center"/>
    </xf>
    <xf numFmtId="0" fontId="9" fillId="15" borderId="20" xfId="7" applyBorder="1">
      <alignment vertical="center"/>
    </xf>
    <xf numFmtId="0" fontId="9" fillId="15" borderId="35" xfId="7" applyBorder="1">
      <alignment vertical="center"/>
    </xf>
    <xf numFmtId="0" fontId="9" fillId="15" borderId="36" xfId="7" applyBorder="1">
      <alignment vertical="center"/>
    </xf>
    <xf numFmtId="0" fontId="9" fillId="0" borderId="0" xfId="7" applyFill="1" applyBorder="1">
      <alignment vertical="center"/>
    </xf>
    <xf numFmtId="0" fontId="9" fillId="17" borderId="2" xfId="9" applyBorder="1">
      <alignment vertical="center"/>
    </xf>
    <xf numFmtId="0" fontId="9" fillId="15" borderId="3" xfId="7" applyBorder="1">
      <alignment vertical="center"/>
    </xf>
    <xf numFmtId="0" fontId="9" fillId="14" borderId="21" xfId="6" applyBorder="1">
      <alignment vertical="center"/>
    </xf>
    <xf numFmtId="0" fontId="9" fillId="11" borderId="5" xfId="3" applyBorder="1">
      <alignment vertical="center"/>
    </xf>
    <xf numFmtId="0" fontId="9" fillId="17" borderId="34" xfId="9" applyBorder="1">
      <alignment vertical="center"/>
    </xf>
    <xf numFmtId="0" fontId="6" fillId="11" borderId="18" xfId="3" applyFont="1" applyBorder="1">
      <alignment vertical="center"/>
    </xf>
    <xf numFmtId="0" fontId="0" fillId="17" borderId="19" xfId="9" applyFont="1" applyBorder="1">
      <alignment vertical="center"/>
    </xf>
    <xf numFmtId="0" fontId="0" fillId="0" borderId="0" xfId="0" applyAlignment="1">
      <alignment vertical="center" wrapText="1"/>
    </xf>
    <xf numFmtId="0" fontId="0" fillId="0" borderId="1" xfId="0" applyBorder="1" applyAlignment="1">
      <alignment horizontal="center" vertical="center"/>
    </xf>
    <xf numFmtId="0" fontId="0" fillId="0" borderId="26" xfId="0" applyBorder="1">
      <alignment vertical="center"/>
    </xf>
    <xf numFmtId="0" fontId="0" fillId="0" borderId="18" xfId="0" applyBorder="1">
      <alignment vertical="center"/>
    </xf>
    <xf numFmtId="0" fontId="0" fillId="0" borderId="19" xfId="0" applyBorder="1">
      <alignment vertical="center"/>
    </xf>
    <xf numFmtId="0" fontId="0" fillId="0" borderId="20" xfId="0" applyBorder="1">
      <alignment vertical="center"/>
    </xf>
    <xf numFmtId="0" fontId="0" fillId="0" borderId="21" xfId="0" applyBorder="1">
      <alignment vertical="center"/>
    </xf>
    <xf numFmtId="0" fontId="0" fillId="0" borderId="38" xfId="0" applyBorder="1">
      <alignment vertical="center"/>
    </xf>
    <xf numFmtId="0" fontId="0" fillId="0" borderId="39" xfId="0" applyBorder="1" applyAlignment="1">
      <alignment horizontal="center" vertical="center"/>
    </xf>
    <xf numFmtId="0" fontId="0" fillId="0" borderId="29" xfId="0" applyBorder="1">
      <alignment vertical="center"/>
    </xf>
    <xf numFmtId="0" fontId="0" fillId="0" borderId="22" xfId="0" applyBorder="1" applyAlignment="1">
      <alignment horizontal="center" vertical="center"/>
    </xf>
    <xf numFmtId="0" fontId="0" fillId="0" borderId="30" xfId="0" applyBorder="1">
      <alignment vertical="center"/>
    </xf>
    <xf numFmtId="0" fontId="0" fillId="0" borderId="23" xfId="0" applyBorder="1" applyAlignment="1">
      <alignment horizontal="center" vertical="center"/>
    </xf>
    <xf numFmtId="0" fontId="0" fillId="0" borderId="40" xfId="0" applyBorder="1" applyAlignment="1">
      <alignment horizontal="center" vertical="center"/>
    </xf>
    <xf numFmtId="0" fontId="0" fillId="0" borderId="31" xfId="0" applyBorder="1" applyAlignment="1">
      <alignment horizontal="center" vertical="center"/>
    </xf>
    <xf numFmtId="0" fontId="0" fillId="0" borderId="41" xfId="0" applyBorder="1" applyAlignment="1">
      <alignment horizontal="center" vertical="center"/>
    </xf>
    <xf numFmtId="0" fontId="0" fillId="0" borderId="42" xfId="0" applyBorder="1" applyAlignment="1">
      <alignment horizontal="center" vertical="center"/>
    </xf>
    <xf numFmtId="0" fontId="0" fillId="0" borderId="21" xfId="0" applyBorder="1" applyAlignment="1">
      <alignment vertical="center" wrapText="1"/>
    </xf>
    <xf numFmtId="0" fontId="0" fillId="0" borderId="19" xfId="0" applyBorder="1" applyAlignment="1">
      <alignment vertical="center" wrapText="1"/>
    </xf>
    <xf numFmtId="0" fontId="9" fillId="0" borderId="18" xfId="2" applyFill="1" applyBorder="1">
      <alignment vertical="center"/>
    </xf>
    <xf numFmtId="0" fontId="9" fillId="0" borderId="21" xfId="10" applyFill="1" applyBorder="1">
      <alignment vertical="center"/>
    </xf>
    <xf numFmtId="0" fontId="9" fillId="0" borderId="19" xfId="8" applyFill="1" applyBorder="1">
      <alignment vertical="center"/>
    </xf>
    <xf numFmtId="0" fontId="0" fillId="0" borderId="7" xfId="0" applyBorder="1" applyAlignment="1">
      <alignment vertical="top"/>
    </xf>
    <xf numFmtId="0" fontId="0" fillId="0" borderId="8" xfId="0" applyBorder="1" applyAlignment="1">
      <alignment vertical="top"/>
    </xf>
    <xf numFmtId="0" fontId="0" fillId="0" borderId="9" xfId="0" applyBorder="1" applyAlignment="1">
      <alignment vertical="top"/>
    </xf>
    <xf numFmtId="0" fontId="0" fillId="0" borderId="0" xfId="0" applyAlignment="1">
      <alignment vertical="top"/>
    </xf>
    <xf numFmtId="0" fontId="0" fillId="0" borderId="10" xfId="0" applyBorder="1" applyAlignment="1">
      <alignment vertical="top"/>
    </xf>
    <xf numFmtId="0" fontId="0" fillId="0" borderId="12" xfId="0" applyBorder="1" applyAlignment="1">
      <alignment vertical="top"/>
    </xf>
    <xf numFmtId="0" fontId="0" fillId="0" borderId="13" xfId="0" applyBorder="1" applyAlignment="1">
      <alignment vertical="top"/>
    </xf>
    <xf numFmtId="0" fontId="0" fillId="0" borderId="6" xfId="0" applyBorder="1" applyAlignment="1">
      <alignment vertical="top"/>
    </xf>
    <xf numFmtId="22" fontId="0" fillId="0" borderId="0" xfId="0" applyNumberFormat="1">
      <alignment vertical="center"/>
    </xf>
    <xf numFmtId="0" fontId="0" fillId="0" borderId="35" xfId="0" applyBorder="1">
      <alignment vertical="center"/>
    </xf>
    <xf numFmtId="0" fontId="0" fillId="0" borderId="43" xfId="0" applyBorder="1">
      <alignment vertical="center"/>
    </xf>
    <xf numFmtId="0" fontId="0" fillId="0" borderId="44" xfId="0" applyBorder="1" applyAlignment="1">
      <alignment horizontal="center" vertical="center"/>
    </xf>
    <xf numFmtId="0" fontId="0" fillId="0" borderId="45" xfId="0" applyBorder="1" applyAlignment="1">
      <alignment horizontal="center" vertical="center"/>
    </xf>
    <xf numFmtId="0" fontId="0" fillId="0" borderId="35" xfId="0" applyBorder="1" applyAlignment="1">
      <alignment vertical="center" wrapText="1"/>
    </xf>
    <xf numFmtId="0" fontId="0" fillId="0" borderId="1" xfId="0" applyBorder="1" applyAlignment="1">
      <alignment vertical="top"/>
    </xf>
    <xf numFmtId="0" fontId="0" fillId="0" borderId="23" xfId="0" applyBorder="1" applyAlignment="1">
      <alignment vertical="top"/>
    </xf>
    <xf numFmtId="0" fontId="0" fillId="0" borderId="17" xfId="0" applyBorder="1" applyAlignment="1">
      <alignment vertical="top"/>
    </xf>
    <xf numFmtId="0" fontId="0" fillId="0" borderId="31" xfId="0" applyBorder="1" applyAlignment="1">
      <alignment vertical="top"/>
    </xf>
    <xf numFmtId="0" fontId="0" fillId="0" borderId="45" xfId="0" applyBorder="1" applyAlignment="1">
      <alignment vertical="top"/>
    </xf>
    <xf numFmtId="0" fontId="0" fillId="0" borderId="7" xfId="0" applyBorder="1" applyAlignment="1">
      <alignment horizontal="center" vertical="center"/>
    </xf>
    <xf numFmtId="0" fontId="0" fillId="0" borderId="12" xfId="0" applyBorder="1" applyAlignment="1">
      <alignment horizontal="center" vertical="center"/>
    </xf>
    <xf numFmtId="0" fontId="0" fillId="7" borderId="2" xfId="0" applyFill="1" applyBorder="1">
      <alignment vertical="center"/>
    </xf>
    <xf numFmtId="0" fontId="0" fillId="8" borderId="20" xfId="0" applyFill="1" applyBorder="1">
      <alignment vertical="center"/>
    </xf>
    <xf numFmtId="0" fontId="14" fillId="8" borderId="28" xfId="0" applyFont="1" applyFill="1" applyBorder="1">
      <alignment vertical="center"/>
    </xf>
    <xf numFmtId="0" fontId="15" fillId="0" borderId="0" xfId="0" applyFont="1">
      <alignment vertical="center"/>
    </xf>
    <xf numFmtId="0" fontId="15" fillId="0" borderId="0" xfId="0" applyFont="1" applyAlignment="1">
      <alignment horizontal="left" vertical="top"/>
    </xf>
    <xf numFmtId="0" fontId="0" fillId="0" borderId="0" xfId="0" applyAlignment="1">
      <alignment horizontal="left" vertical="top" wrapText="1"/>
    </xf>
    <xf numFmtId="0" fontId="15" fillId="0" borderId="0" xfId="0" applyFont="1" applyAlignment="1">
      <alignment horizontal="left" vertical="top" wrapText="1"/>
    </xf>
    <xf numFmtId="0" fontId="0" fillId="0" borderId="0" xfId="0" applyAlignment="1">
      <alignment vertical="top" wrapText="1"/>
    </xf>
    <xf numFmtId="0" fontId="17" fillId="21" borderId="54" xfId="0" applyFont="1" applyFill="1" applyBorder="1" applyAlignment="1">
      <alignment horizontal="center" vertical="center" wrapText="1"/>
    </xf>
    <xf numFmtId="0" fontId="16" fillId="21" borderId="57" xfId="0" applyFont="1" applyFill="1" applyBorder="1" applyAlignment="1">
      <alignment horizontal="center" vertical="center" wrapText="1"/>
    </xf>
    <xf numFmtId="0" fontId="17" fillId="3" borderId="48" xfId="0" applyFont="1" applyFill="1" applyBorder="1" applyAlignment="1">
      <alignment horizontal="center" vertical="center" wrapText="1"/>
    </xf>
    <xf numFmtId="0" fontId="16" fillId="3" borderId="49" xfId="0" applyFont="1" applyFill="1" applyBorder="1" applyAlignment="1">
      <alignment horizontal="center" vertical="center" wrapText="1"/>
    </xf>
    <xf numFmtId="0" fontId="17" fillId="4" borderId="48" xfId="0" applyFont="1" applyFill="1" applyBorder="1" applyAlignment="1">
      <alignment horizontal="center" vertical="center" wrapText="1"/>
    </xf>
    <xf numFmtId="0" fontId="16" fillId="4" borderId="49" xfId="0" applyFont="1" applyFill="1" applyBorder="1" applyAlignment="1">
      <alignment horizontal="center" vertical="center" wrapText="1"/>
    </xf>
    <xf numFmtId="0" fontId="17" fillId="8" borderId="54" xfId="0" applyFont="1" applyFill="1" applyBorder="1" applyAlignment="1">
      <alignment horizontal="center" vertical="center" wrapText="1"/>
    </xf>
    <xf numFmtId="0" fontId="16" fillId="8" borderId="55" xfId="0" applyFont="1" applyFill="1" applyBorder="1" applyAlignment="1">
      <alignment horizontal="center" vertical="center" wrapText="1"/>
    </xf>
    <xf numFmtId="0" fontId="17" fillId="7" borderId="50" xfId="0" applyFont="1" applyFill="1" applyBorder="1" applyAlignment="1">
      <alignment horizontal="center" vertical="center" wrapText="1"/>
    </xf>
    <xf numFmtId="0" fontId="16" fillId="7" borderId="53" xfId="0" applyFont="1" applyFill="1" applyBorder="1" applyAlignment="1">
      <alignment horizontal="center" vertical="center" wrapText="1"/>
    </xf>
    <xf numFmtId="0" fontId="17" fillId="22" borderId="48" xfId="0" applyFont="1" applyFill="1" applyBorder="1" applyAlignment="1">
      <alignment horizontal="center" vertical="center" wrapText="1"/>
    </xf>
    <xf numFmtId="0" fontId="16" fillId="22" borderId="49" xfId="0" applyFont="1" applyFill="1" applyBorder="1" applyAlignment="1">
      <alignment horizontal="center" vertical="center" wrapText="1"/>
    </xf>
    <xf numFmtId="0" fontId="17" fillId="20" borderId="50" xfId="0" applyFont="1" applyFill="1" applyBorder="1" applyAlignment="1">
      <alignment horizontal="center" vertical="center"/>
    </xf>
    <xf numFmtId="0" fontId="17" fillId="23" borderId="48" xfId="0" applyFont="1" applyFill="1" applyBorder="1" applyAlignment="1">
      <alignment horizontal="center" vertical="center" wrapText="1"/>
    </xf>
    <xf numFmtId="0" fontId="16" fillId="23" borderId="49" xfId="0" applyFont="1" applyFill="1" applyBorder="1" applyAlignment="1">
      <alignment horizontal="center" vertical="center" wrapText="1"/>
    </xf>
    <xf numFmtId="0" fontId="17" fillId="24" borderId="56" xfId="0" applyFont="1" applyFill="1" applyBorder="1" applyAlignment="1">
      <alignment horizontal="center" vertical="center" wrapText="1"/>
    </xf>
    <xf numFmtId="0" fontId="16" fillId="24" borderId="53" xfId="0" applyFont="1" applyFill="1" applyBorder="1" applyAlignment="1">
      <alignment horizontal="center" vertical="center" wrapText="1"/>
    </xf>
    <xf numFmtId="0" fontId="18" fillId="0" borderId="2" xfId="0" applyFont="1" applyBorder="1" applyAlignment="1">
      <alignment horizontal="center" vertical="center"/>
    </xf>
    <xf numFmtId="0" fontId="10" fillId="0" borderId="0" xfId="0" applyFont="1">
      <alignment vertical="center"/>
    </xf>
    <xf numFmtId="0" fontId="0" fillId="4" borderId="1" xfId="0" applyFill="1" applyBorder="1" applyAlignment="1">
      <alignment horizontal="left" vertical="center"/>
    </xf>
    <xf numFmtId="0" fontId="0" fillId="3" borderId="1" xfId="0" applyFill="1" applyBorder="1" applyAlignment="1">
      <alignment horizontal="left" vertical="center"/>
    </xf>
    <xf numFmtId="0" fontId="0" fillId="2" borderId="1" xfId="0" applyFill="1" applyBorder="1" applyAlignment="1">
      <alignment horizontal="left" vertical="center"/>
    </xf>
    <xf numFmtId="0" fontId="0" fillId="7" borderId="24" xfId="0" applyFill="1" applyBorder="1" applyAlignment="1">
      <alignment horizontal="center" vertical="center"/>
    </xf>
    <xf numFmtId="0" fontId="0" fillId="7" borderId="1" xfId="0" applyFill="1" applyBorder="1" applyAlignment="1">
      <alignment horizontal="center" vertical="center"/>
    </xf>
    <xf numFmtId="0" fontId="0" fillId="8" borderId="1" xfId="0" applyFill="1" applyBorder="1" applyAlignment="1">
      <alignment horizontal="center" vertical="center"/>
    </xf>
    <xf numFmtId="0" fontId="0" fillId="8" borderId="23" xfId="0" applyFill="1" applyBorder="1" applyAlignment="1">
      <alignment horizontal="center" vertical="center"/>
    </xf>
    <xf numFmtId="0" fontId="0" fillId="8" borderId="24" xfId="0" applyFill="1" applyBorder="1" applyAlignment="1">
      <alignment horizontal="center" vertical="center"/>
    </xf>
    <xf numFmtId="0" fontId="0" fillId="8" borderId="16" xfId="0" applyFill="1" applyBorder="1" applyAlignment="1">
      <alignment horizontal="center" vertical="center"/>
    </xf>
    <xf numFmtId="0" fontId="0" fillId="4" borderId="1" xfId="0" applyFill="1" applyBorder="1" applyAlignment="1">
      <alignment horizontal="center" vertical="center"/>
    </xf>
    <xf numFmtId="0" fontId="0" fillId="3" borderId="1" xfId="0" applyFill="1" applyBorder="1" applyAlignment="1">
      <alignment horizontal="center" vertical="center"/>
    </xf>
    <xf numFmtId="0" fontId="0" fillId="3" borderId="22" xfId="0" applyFill="1" applyBorder="1" applyAlignment="1">
      <alignment horizontal="center" vertical="center"/>
    </xf>
    <xf numFmtId="0" fontId="0" fillId="3" borderId="14" xfId="0" applyFill="1" applyBorder="1" applyAlignment="1">
      <alignment horizontal="center" vertical="center"/>
    </xf>
    <xf numFmtId="0" fontId="0" fillId="3" borderId="24" xfId="0" applyFill="1" applyBorder="1" applyAlignment="1">
      <alignment horizontal="center" vertical="center"/>
    </xf>
    <xf numFmtId="0" fontId="0" fillId="7" borderId="33" xfId="0" applyFill="1" applyBorder="1" applyAlignment="1">
      <alignment horizontal="left" vertical="center"/>
    </xf>
    <xf numFmtId="0" fontId="0" fillId="7" borderId="46" xfId="0" applyFill="1" applyBorder="1" applyAlignment="1">
      <alignment horizontal="left" vertical="center"/>
    </xf>
    <xf numFmtId="0" fontId="0" fillId="7" borderId="47" xfId="0" applyFill="1" applyBorder="1" applyAlignment="1">
      <alignment horizontal="left" vertical="center"/>
    </xf>
    <xf numFmtId="0" fontId="9" fillId="15" borderId="14" xfId="7" applyBorder="1" applyAlignment="1">
      <alignment horizontal="left" vertical="center"/>
    </xf>
    <xf numFmtId="0" fontId="9" fillId="15" borderId="22" xfId="7" applyBorder="1" applyAlignment="1">
      <alignment horizontal="left" vertical="center"/>
    </xf>
    <xf numFmtId="0" fontId="9" fillId="15" borderId="15" xfId="7" applyBorder="1" applyAlignment="1">
      <alignment horizontal="left" vertical="center"/>
    </xf>
    <xf numFmtId="0" fontId="9" fillId="15" borderId="16" xfId="7" applyBorder="1" applyAlignment="1">
      <alignment horizontal="left" vertical="center"/>
    </xf>
    <xf numFmtId="0" fontId="9" fillId="15" borderId="23" xfId="7" applyBorder="1" applyAlignment="1">
      <alignment horizontal="left" vertical="center"/>
    </xf>
    <xf numFmtId="0" fontId="9" fillId="15" borderId="17" xfId="7" applyBorder="1" applyAlignment="1">
      <alignment horizontal="left" vertical="center"/>
    </xf>
    <xf numFmtId="0" fontId="0" fillId="4" borderId="24" xfId="0" applyFill="1" applyBorder="1" applyAlignment="1">
      <alignment horizontal="center" vertical="center"/>
    </xf>
    <xf numFmtId="0" fontId="19" fillId="19" borderId="6" xfId="0" applyFont="1" applyFill="1" applyBorder="1" applyAlignment="1">
      <alignment horizontal="center" vertical="center" wrapText="1"/>
    </xf>
    <xf numFmtId="0" fontId="19" fillId="19" borderId="7" xfId="0" applyFont="1" applyFill="1" applyBorder="1" applyAlignment="1">
      <alignment horizontal="center" vertical="center" wrapText="1"/>
    </xf>
    <xf numFmtId="0" fontId="19" fillId="19" borderId="8" xfId="0" applyFont="1" applyFill="1" applyBorder="1" applyAlignment="1">
      <alignment horizontal="center" vertical="center" wrapText="1"/>
    </xf>
    <xf numFmtId="0" fontId="19" fillId="19" borderId="9" xfId="0" applyFont="1" applyFill="1" applyBorder="1" applyAlignment="1">
      <alignment horizontal="center" vertical="center" wrapText="1"/>
    </xf>
    <xf numFmtId="0" fontId="19" fillId="19" borderId="0" xfId="0" applyFont="1" applyFill="1" applyAlignment="1">
      <alignment horizontal="center" vertical="center" wrapText="1"/>
    </xf>
    <xf numFmtId="0" fontId="19" fillId="19" borderId="10" xfId="0" applyFont="1" applyFill="1" applyBorder="1" applyAlignment="1">
      <alignment horizontal="center" vertical="center" wrapText="1"/>
    </xf>
    <xf numFmtId="0" fontId="19" fillId="19" borderId="11" xfId="0" applyFont="1" applyFill="1" applyBorder="1" applyAlignment="1">
      <alignment horizontal="center" vertical="center" wrapText="1"/>
    </xf>
    <xf numFmtId="0" fontId="19" fillId="19" borderId="12" xfId="0" applyFont="1" applyFill="1" applyBorder="1" applyAlignment="1">
      <alignment horizontal="center" vertical="center" wrapText="1"/>
    </xf>
    <xf numFmtId="0" fontId="19" fillId="19" borderId="13" xfId="0" applyFont="1" applyFill="1" applyBorder="1" applyAlignment="1">
      <alignment horizontal="center" vertical="center" wrapText="1"/>
    </xf>
    <xf numFmtId="0" fontId="0" fillId="20" borderId="33" xfId="0" applyFill="1" applyBorder="1" applyAlignment="1">
      <alignment horizontal="left" vertical="center"/>
    </xf>
    <xf numFmtId="0" fontId="0" fillId="20" borderId="46" xfId="0" applyFill="1" applyBorder="1" applyAlignment="1">
      <alignment horizontal="left" vertical="center"/>
    </xf>
    <xf numFmtId="0" fontId="0" fillId="20" borderId="47" xfId="0" applyFill="1" applyBorder="1" applyAlignment="1">
      <alignment horizontal="left" vertical="center"/>
    </xf>
    <xf numFmtId="0" fontId="0" fillId="4" borderId="27" xfId="0" applyFill="1" applyBorder="1" applyAlignment="1">
      <alignment horizontal="center" vertical="center"/>
    </xf>
    <xf numFmtId="0" fontId="0" fillId="4" borderId="28" xfId="0" applyFill="1" applyBorder="1" applyAlignment="1">
      <alignment horizontal="center" vertical="center"/>
    </xf>
    <xf numFmtId="0" fontId="0" fillId="5" borderId="27" xfId="0" applyFill="1" applyBorder="1" applyAlignment="1">
      <alignment horizontal="center" vertical="center"/>
    </xf>
    <xf numFmtId="0" fontId="0" fillId="5" borderId="28" xfId="0" applyFill="1" applyBorder="1" applyAlignment="1">
      <alignment horizontal="center" vertical="center"/>
    </xf>
    <xf numFmtId="0" fontId="0" fillId="3" borderId="27" xfId="0" applyFill="1" applyBorder="1" applyAlignment="1">
      <alignment horizontal="center" vertical="center"/>
    </xf>
    <xf numFmtId="0" fontId="0" fillId="3" borderId="28" xfId="0" applyFill="1" applyBorder="1" applyAlignment="1">
      <alignment horizontal="center" vertical="center"/>
    </xf>
    <xf numFmtId="0" fontId="0" fillId="6" borderId="27" xfId="0" applyFill="1" applyBorder="1" applyAlignment="1">
      <alignment horizontal="center" vertical="center"/>
    </xf>
    <xf numFmtId="0" fontId="0" fillId="6" borderId="28" xfId="0" applyFill="1" applyBorder="1" applyAlignment="1">
      <alignment horizontal="center" vertical="center"/>
    </xf>
    <xf numFmtId="0" fontId="0" fillId="7" borderId="27" xfId="0" applyFill="1" applyBorder="1" applyAlignment="1">
      <alignment horizontal="center" vertical="center"/>
    </xf>
    <xf numFmtId="0" fontId="0" fillId="7" borderId="28" xfId="0" applyFill="1" applyBorder="1" applyAlignment="1">
      <alignment horizontal="center" vertical="center"/>
    </xf>
    <xf numFmtId="0" fontId="0" fillId="4" borderId="18" xfId="0" applyFill="1" applyBorder="1" applyAlignment="1">
      <alignment horizontal="center" vertical="center"/>
    </xf>
    <xf numFmtId="0" fontId="0" fillId="4" borderId="20" xfId="0" applyFill="1" applyBorder="1" applyAlignment="1">
      <alignment horizontal="center" vertical="center"/>
    </xf>
    <xf numFmtId="0" fontId="0" fillId="5" borderId="18" xfId="0" applyFill="1" applyBorder="1" applyAlignment="1">
      <alignment horizontal="center" vertical="center"/>
    </xf>
    <xf numFmtId="0" fontId="0" fillId="5" borderId="20" xfId="0" applyFill="1" applyBorder="1" applyAlignment="1">
      <alignment horizontal="center" vertical="center"/>
    </xf>
    <xf numFmtId="0" fontId="0" fillId="3" borderId="18" xfId="0" applyFill="1" applyBorder="1" applyAlignment="1">
      <alignment horizontal="center" vertical="center"/>
    </xf>
    <xf numFmtId="0" fontId="0" fillId="3" borderId="20" xfId="0" applyFill="1" applyBorder="1" applyAlignment="1">
      <alignment horizontal="center" vertical="center"/>
    </xf>
    <xf numFmtId="0" fontId="0" fillId="6" borderId="18" xfId="0" applyFill="1" applyBorder="1" applyAlignment="1">
      <alignment horizontal="center" vertical="center"/>
    </xf>
    <xf numFmtId="0" fontId="0" fillId="6" borderId="20" xfId="0" applyFill="1" applyBorder="1" applyAlignment="1">
      <alignment horizontal="center" vertical="center"/>
    </xf>
    <xf numFmtId="0" fontId="0" fillId="7" borderId="18" xfId="0" applyFill="1" applyBorder="1" applyAlignment="1">
      <alignment horizontal="center" vertical="center"/>
    </xf>
    <xf numFmtId="0" fontId="0" fillId="7" borderId="20" xfId="0" applyFill="1" applyBorder="1" applyAlignment="1">
      <alignment horizontal="center" vertical="center"/>
    </xf>
    <xf numFmtId="0" fontId="0" fillId="4" borderId="1" xfId="0" applyFill="1" applyBorder="1" applyAlignment="1">
      <alignment horizontal="left" vertical="center"/>
    </xf>
    <xf numFmtId="0" fontId="0" fillId="3" borderId="31" xfId="0" applyFill="1" applyBorder="1" applyAlignment="1">
      <alignment horizontal="left" vertical="center"/>
    </xf>
    <xf numFmtId="0" fontId="0" fillId="3" borderId="32" xfId="0" applyFill="1" applyBorder="1" applyAlignment="1">
      <alignment horizontal="left" vertical="center"/>
    </xf>
    <xf numFmtId="0" fontId="0" fillId="3" borderId="26" xfId="0" applyFill="1" applyBorder="1" applyAlignment="1">
      <alignment horizontal="left" vertical="center"/>
    </xf>
    <xf numFmtId="0" fontId="0" fillId="2" borderId="31" xfId="0" applyFill="1" applyBorder="1" applyAlignment="1">
      <alignment horizontal="left" vertical="center"/>
    </xf>
    <xf numFmtId="0" fontId="0" fillId="2" borderId="32" xfId="0" applyFill="1" applyBorder="1" applyAlignment="1">
      <alignment horizontal="left" vertical="center"/>
    </xf>
    <xf numFmtId="0" fontId="0" fillId="2" borderId="26" xfId="0" applyFill="1" applyBorder="1" applyAlignment="1">
      <alignment horizontal="left" vertical="center"/>
    </xf>
    <xf numFmtId="0" fontId="17" fillId="20" borderId="52" xfId="0" applyFont="1" applyFill="1" applyBorder="1" applyAlignment="1">
      <alignment horizontal="left" vertical="center" wrapText="1"/>
    </xf>
    <xf numFmtId="0" fontId="17" fillId="20" borderId="51" xfId="0" applyFont="1" applyFill="1" applyBorder="1" applyAlignment="1">
      <alignment horizontal="left" vertical="center" wrapText="1"/>
    </xf>
    <xf numFmtId="0" fontId="0" fillId="0" borderId="40" xfId="0" applyBorder="1" applyAlignment="1">
      <alignment horizontal="left" vertical="center"/>
    </xf>
    <xf numFmtId="0" fontId="0" fillId="0" borderId="27" xfId="0" applyBorder="1" applyAlignment="1">
      <alignment horizontal="left" vertical="center"/>
    </xf>
  </cellXfs>
  <cellStyles count="12">
    <cellStyle name="20% - 着色 1" xfId="1" builtinId="30"/>
    <cellStyle name="20% - 着色 2" xfId="3" builtinId="34"/>
    <cellStyle name="20% - 着色 3" xfId="5" builtinId="38"/>
    <cellStyle name="20% - 着色 4" xfId="6" builtinId="42"/>
    <cellStyle name="20% - 着色 5" xfId="7" builtinId="46"/>
    <cellStyle name="20% - 着色 6" xfId="9" builtinId="50"/>
    <cellStyle name="60% - 着色 1" xfId="2" builtinId="32"/>
    <cellStyle name="60% - 着色 2" xfId="4" builtinId="36"/>
    <cellStyle name="60% - 着色 5" xfId="8" builtinId="48"/>
    <cellStyle name="60% - 着色 6" xfId="10" builtinId="52"/>
    <cellStyle name="常规" xfId="0" builtinId="0"/>
    <cellStyle name="常规 2" xfId="11" xr:uid="{6308BA72-B2DF-451C-8663-394980D8168F}"/>
  </cellStyles>
  <dxfs count="0"/>
  <tableStyles count="0" defaultTableStyle="TableStyleMedium2" defaultPivotStyle="PivotStyleLight16"/>
  <colors>
    <mruColors>
      <color rgb="FFFFB9B9"/>
      <color rgb="FFB7FBDC"/>
      <color rgb="FF98FACE"/>
      <color rgb="FFFFA7A7"/>
      <color rgb="FFE8C5A2"/>
      <color rgb="FFEAD2FA"/>
      <color rgb="FFF6FBC9"/>
      <color rgb="FFFFCCFF"/>
      <color rgb="FFEBE87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101600</xdr:colOff>
          <xdr:row>2</xdr:row>
          <xdr:rowOff>38100</xdr:rowOff>
        </xdr:from>
        <xdr:to>
          <xdr:col>2</xdr:col>
          <xdr:colOff>971550</xdr:colOff>
          <xdr:row>3</xdr:row>
          <xdr:rowOff>38100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日期开始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82550</xdr:colOff>
          <xdr:row>4</xdr:row>
          <xdr:rowOff>12700</xdr:rowOff>
        </xdr:from>
        <xdr:to>
          <xdr:col>2</xdr:col>
          <xdr:colOff>946150</xdr:colOff>
          <xdr:row>5</xdr:row>
          <xdr:rowOff>31750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日期停止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xdr:colOff>
          <xdr:row>6</xdr:row>
          <xdr:rowOff>57150</xdr:rowOff>
        </xdr:from>
        <xdr:to>
          <xdr:col>1</xdr:col>
          <xdr:colOff>1047750</xdr:colOff>
          <xdr:row>7</xdr:row>
          <xdr:rowOff>76200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清除塔罗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177800</xdr:colOff>
          <xdr:row>2</xdr:row>
          <xdr:rowOff>0</xdr:rowOff>
        </xdr:from>
        <xdr:to>
          <xdr:col>4</xdr:col>
          <xdr:colOff>1098550</xdr:colOff>
          <xdr:row>3</xdr:row>
          <xdr:rowOff>31750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大牌开始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146050</xdr:colOff>
          <xdr:row>1</xdr:row>
          <xdr:rowOff>139700</xdr:rowOff>
        </xdr:from>
        <xdr:to>
          <xdr:col>6</xdr:col>
          <xdr:colOff>1047750</xdr:colOff>
          <xdr:row>3</xdr:row>
          <xdr:rowOff>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通用开始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146050</xdr:colOff>
          <xdr:row>4</xdr:row>
          <xdr:rowOff>19050</xdr:rowOff>
        </xdr:from>
        <xdr:to>
          <xdr:col>4</xdr:col>
          <xdr:colOff>1085850</xdr:colOff>
          <xdr:row>5</xdr:row>
          <xdr:rowOff>31750</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大牌停止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114300</xdr:colOff>
          <xdr:row>4</xdr:row>
          <xdr:rowOff>0</xdr:rowOff>
        </xdr:from>
        <xdr:to>
          <xdr:col>6</xdr:col>
          <xdr:colOff>1041400</xdr:colOff>
          <xdr:row>5</xdr:row>
          <xdr:rowOff>44450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通用停止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158750</xdr:colOff>
          <xdr:row>1</xdr:row>
          <xdr:rowOff>101600</xdr:rowOff>
        </xdr:from>
        <xdr:to>
          <xdr:col>8</xdr:col>
          <xdr:colOff>1041400</xdr:colOff>
          <xdr:row>2</xdr:row>
          <xdr:rowOff>152400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YES or NO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158750</xdr:colOff>
          <xdr:row>3</xdr:row>
          <xdr:rowOff>152400</xdr:rowOff>
        </xdr:from>
        <xdr:to>
          <xdr:col>9</xdr:col>
          <xdr:colOff>0</xdr:colOff>
          <xdr:row>5</xdr:row>
          <xdr:rowOff>12700</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YES or NO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438150</xdr:colOff>
          <xdr:row>7</xdr:row>
          <xdr:rowOff>107950</xdr:rowOff>
        </xdr:from>
        <xdr:to>
          <xdr:col>9</xdr:col>
          <xdr:colOff>177800</xdr:colOff>
          <xdr:row>8</xdr:row>
          <xdr:rowOff>152400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爻卦开始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425450</xdr:colOff>
          <xdr:row>9</xdr:row>
          <xdr:rowOff>95250</xdr:rowOff>
        </xdr:from>
        <xdr:to>
          <xdr:col>9</xdr:col>
          <xdr:colOff>196850</xdr:colOff>
          <xdr:row>10</xdr:row>
          <xdr:rowOff>127000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100-000005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爻卦停止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8</xdr:row>
          <xdr:rowOff>82550</xdr:rowOff>
        </xdr:from>
        <xdr:to>
          <xdr:col>7</xdr:col>
          <xdr:colOff>260350</xdr:colOff>
          <xdr:row>9</xdr:row>
          <xdr:rowOff>107950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100-00000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清除爻卦</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50800</xdr:colOff>
          <xdr:row>7</xdr:row>
          <xdr:rowOff>12700</xdr:rowOff>
        </xdr:from>
        <xdr:to>
          <xdr:col>6</xdr:col>
          <xdr:colOff>387350</xdr:colOff>
          <xdr:row>8</xdr:row>
          <xdr:rowOff>120650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占星开始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63500</xdr:colOff>
          <xdr:row>9</xdr:row>
          <xdr:rowOff>107950</xdr:rowOff>
        </xdr:from>
        <xdr:to>
          <xdr:col>6</xdr:col>
          <xdr:colOff>393700</xdr:colOff>
          <xdr:row>11</xdr:row>
          <xdr:rowOff>38100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200-000002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占星停止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120650</xdr:colOff>
          <xdr:row>7</xdr:row>
          <xdr:rowOff>127000</xdr:rowOff>
        </xdr:from>
        <xdr:to>
          <xdr:col>4</xdr:col>
          <xdr:colOff>406400</xdr:colOff>
          <xdr:row>9</xdr:row>
          <xdr:rowOff>6350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200-000003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清除占星</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450850</xdr:colOff>
          <xdr:row>11</xdr:row>
          <xdr:rowOff>133350</xdr:rowOff>
        </xdr:from>
        <xdr:to>
          <xdr:col>5</xdr:col>
          <xdr:colOff>260350</xdr:colOff>
          <xdr:row>13</xdr:row>
          <xdr:rowOff>82550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清除雷诺曼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381000</xdr:colOff>
          <xdr:row>5</xdr:row>
          <xdr:rowOff>38100</xdr:rowOff>
        </xdr:from>
        <xdr:to>
          <xdr:col>5</xdr:col>
          <xdr:colOff>717550</xdr:colOff>
          <xdr:row>7</xdr:row>
          <xdr:rowOff>44450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雷诺曼开始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361950</xdr:colOff>
          <xdr:row>8</xdr:row>
          <xdr:rowOff>38100</xdr:rowOff>
        </xdr:from>
        <xdr:to>
          <xdr:col>5</xdr:col>
          <xdr:colOff>730250</xdr:colOff>
          <xdr:row>10</xdr:row>
          <xdr:rowOff>95250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300-000003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雷诺曼停止</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25400</xdr:colOff>
          <xdr:row>11</xdr:row>
          <xdr:rowOff>165100</xdr:rowOff>
        </xdr:from>
        <xdr:to>
          <xdr:col>4</xdr:col>
          <xdr:colOff>1549400</xdr:colOff>
          <xdr:row>13</xdr:row>
          <xdr:rowOff>114300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清除卢恩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38100</xdr:colOff>
          <xdr:row>5</xdr:row>
          <xdr:rowOff>57150</xdr:rowOff>
        </xdr:from>
        <xdr:to>
          <xdr:col>4</xdr:col>
          <xdr:colOff>1746250</xdr:colOff>
          <xdr:row>7</xdr:row>
          <xdr:rowOff>63500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卢恩开始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8</xdr:row>
          <xdr:rowOff>57150</xdr:rowOff>
        </xdr:from>
        <xdr:to>
          <xdr:col>4</xdr:col>
          <xdr:colOff>1758950</xdr:colOff>
          <xdr:row>10</xdr:row>
          <xdr:rowOff>107950</xdr:rowOff>
        </xdr:to>
        <xdr:sp macro="" textlink="">
          <xdr:nvSpPr>
            <xdr:cNvPr id="8195" name="Button 3" hidden="1">
              <a:extLst>
                <a:ext uri="{63B3BB69-23CF-44E3-9099-C40C66FF867C}">
                  <a14:compatExt spid="_x0000_s8195"/>
                </a:ext>
                <a:ext uri="{FF2B5EF4-FFF2-40B4-BE49-F238E27FC236}">
                  <a16:creationId xmlns:a16="http://schemas.microsoft.com/office/drawing/2014/main" id="{00000000-0008-0000-0400-000003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卢恩停止</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127000</xdr:colOff>
          <xdr:row>4</xdr:row>
          <xdr:rowOff>88900</xdr:rowOff>
        </xdr:from>
        <xdr:to>
          <xdr:col>15</xdr:col>
          <xdr:colOff>330200</xdr:colOff>
          <xdr:row>4</xdr:row>
          <xdr:rowOff>393700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清除抽签</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152400</xdr:colOff>
          <xdr:row>2</xdr:row>
          <xdr:rowOff>228600</xdr:rowOff>
        </xdr:from>
        <xdr:to>
          <xdr:col>15</xdr:col>
          <xdr:colOff>539750</xdr:colOff>
          <xdr:row>2</xdr:row>
          <xdr:rowOff>590550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抽签开始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120650</xdr:colOff>
          <xdr:row>3</xdr:row>
          <xdr:rowOff>127000</xdr:rowOff>
        </xdr:from>
        <xdr:to>
          <xdr:col>15</xdr:col>
          <xdr:colOff>539750</xdr:colOff>
          <xdr:row>3</xdr:row>
          <xdr:rowOff>539750</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500-000003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抽签停止</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438150</xdr:colOff>
          <xdr:row>7</xdr:row>
          <xdr:rowOff>107950</xdr:rowOff>
        </xdr:from>
        <xdr:to>
          <xdr:col>9</xdr:col>
          <xdr:colOff>177800</xdr:colOff>
          <xdr:row>8</xdr:row>
          <xdr:rowOff>152400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爻卦开始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425450</xdr:colOff>
          <xdr:row>9</xdr:row>
          <xdr:rowOff>95250</xdr:rowOff>
        </xdr:from>
        <xdr:to>
          <xdr:col>9</xdr:col>
          <xdr:colOff>196850</xdr:colOff>
          <xdr:row>10</xdr:row>
          <xdr:rowOff>127000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600-000002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爻卦停止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8</xdr:row>
          <xdr:rowOff>82550</xdr:rowOff>
        </xdr:from>
        <xdr:to>
          <xdr:col>7</xdr:col>
          <xdr:colOff>260350</xdr:colOff>
          <xdr:row>9</xdr:row>
          <xdr:rowOff>107950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600-000003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清除爻卦</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44450</xdr:colOff>
          <xdr:row>12</xdr:row>
          <xdr:rowOff>88900</xdr:rowOff>
        </xdr:from>
        <xdr:to>
          <xdr:col>8</xdr:col>
          <xdr:colOff>0</xdr:colOff>
          <xdr:row>12</xdr:row>
          <xdr:rowOff>273050</xdr:rowOff>
        </xdr:to>
        <xdr:sp macro="" textlink="">
          <xdr:nvSpPr>
            <xdr:cNvPr id="10244" name="Button 4" hidden="1">
              <a:extLst>
                <a:ext uri="{63B3BB69-23CF-44E3-9099-C40C66FF867C}">
                  <a14:compatExt spid="_x0000_s10244"/>
                </a:ext>
                <a:ext uri="{FF2B5EF4-FFF2-40B4-BE49-F238E27FC236}">
                  <a16:creationId xmlns:a16="http://schemas.microsoft.com/office/drawing/2014/main" id="{00000000-0008-0000-0600-000004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更新时间</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5.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0E26BA-12B5-4C4C-A15F-E4BD919056AF}">
  <sheetPr codeName="Sheet1"/>
  <dimension ref="A1:W199"/>
  <sheetViews>
    <sheetView tabSelected="1" topLeftCell="B1" zoomScaleNormal="100" workbookViewId="0">
      <selection activeCell="K11" sqref="K11:O11"/>
    </sheetView>
  </sheetViews>
  <sheetFormatPr defaultRowHeight="14"/>
  <cols>
    <col min="1" max="1" width="14.9140625" style="3" hidden="1" customWidth="1"/>
    <col min="2" max="2" width="14.5" customWidth="1"/>
    <col min="3" max="3" width="13.25" customWidth="1"/>
    <col min="4" max="4" width="14.9140625" customWidth="1"/>
    <col min="5" max="5" width="15.08203125" customWidth="1"/>
    <col min="6" max="6" width="14.9140625" customWidth="1"/>
    <col min="7" max="7" width="13.83203125" customWidth="1"/>
    <col min="8" max="8" width="14.9140625" customWidth="1"/>
    <col min="9" max="9" width="14" style="38" customWidth="1"/>
    <col min="10" max="10" width="7.5" style="38" customWidth="1"/>
    <col min="11" max="11" width="8.6640625" style="38"/>
    <col min="12" max="12" width="9.75" style="38" customWidth="1"/>
    <col min="13" max="13" width="11.25" style="38" customWidth="1"/>
    <col min="14" max="14" width="7.4140625" style="38" customWidth="1"/>
    <col min="15" max="15" width="19" style="48" customWidth="1"/>
    <col min="17" max="20" width="8.6640625" hidden="1" customWidth="1"/>
    <col min="21" max="21" width="10.9140625" hidden="1" customWidth="1"/>
    <col min="22" max="22" width="8.6640625" hidden="1" customWidth="1"/>
    <col min="23" max="23" width="10.6640625" hidden="1" customWidth="1"/>
  </cols>
  <sheetData>
    <row r="1" spans="1:17" ht="14.5" thickBot="1">
      <c r="A1" s="2"/>
      <c r="B1" s="1"/>
      <c r="C1" s="1"/>
      <c r="E1" s="1"/>
      <c r="G1" s="1"/>
      <c r="H1" t="s">
        <v>1545</v>
      </c>
    </row>
    <row r="2" spans="1:17" ht="14.5" thickBot="1">
      <c r="A2" s="2" t="s">
        <v>16</v>
      </c>
      <c r="B2" s="1"/>
      <c r="C2" s="1"/>
      <c r="D2" s="96"/>
      <c r="E2" s="1"/>
      <c r="F2" s="99"/>
      <c r="G2" s="1"/>
      <c r="H2" s="102" t="s">
        <v>25</v>
      </c>
      <c r="J2" s="105"/>
      <c r="K2" s="107" t="e">
        <f>INDEX(Q80:Q103, MATCH(J2, R80:R103, 0))</f>
        <v>#N/A</v>
      </c>
      <c r="L2" s="227" t="e">
        <f>INDEX(S80:S103, MATCH(J2, R80:R103, 0))</f>
        <v>#N/A</v>
      </c>
      <c r="M2" s="228"/>
      <c r="N2" s="229"/>
    </row>
    <row r="3" spans="1:17" ht="14.5" thickBot="1">
      <c r="A3" s="2" t="s">
        <v>17</v>
      </c>
      <c r="B3" s="1"/>
      <c r="C3" s="1"/>
      <c r="D3" s="97"/>
      <c r="E3" s="1"/>
      <c r="F3" s="100"/>
      <c r="G3" s="1"/>
      <c r="H3" s="103" t="s">
        <v>143</v>
      </c>
      <c r="L3" s="230" t="e">
        <f>INDEX(T80:T103, MATCH(J2, R80:R103, 0))</f>
        <v>#N/A</v>
      </c>
      <c r="M3" s="231"/>
      <c r="N3" s="232"/>
    </row>
    <row r="4" spans="1:17">
      <c r="A4" s="2" t="s">
        <v>18</v>
      </c>
      <c r="B4" s="1"/>
      <c r="C4" s="1"/>
      <c r="D4" s="97"/>
      <c r="E4" s="1"/>
      <c r="F4" s="100"/>
      <c r="G4" s="1"/>
      <c r="H4" s="103" t="s">
        <v>111</v>
      </c>
    </row>
    <row r="5" spans="1:17" ht="14.5" thickBot="1">
      <c r="A5" s="2" t="s">
        <v>19</v>
      </c>
      <c r="B5" s="1"/>
      <c r="C5" s="1"/>
      <c r="D5" s="97"/>
      <c r="E5" s="1"/>
      <c r="F5" s="100"/>
      <c r="G5" s="1"/>
      <c r="H5" s="103" t="s">
        <v>1577</v>
      </c>
    </row>
    <row r="6" spans="1:17" ht="14.5" thickBot="1">
      <c r="A6" s="2" t="s">
        <v>1</v>
      </c>
      <c r="B6" s="1"/>
      <c r="C6" s="1"/>
      <c r="D6" s="97"/>
      <c r="E6" s="1"/>
      <c r="F6" s="100"/>
      <c r="G6" s="1"/>
      <c r="H6" s="103" t="s">
        <v>102</v>
      </c>
      <c r="K6" s="106" t="e" cm="1">
        <f t="array" ref="K6">INDEX(R42:R77,MATCH(TRUE,COUNTIF(D2:D60,Q42:Q77)&gt;0,0))</f>
        <v>#N/A</v>
      </c>
      <c r="L6" s="106" t="e" cm="1">
        <f t="array" ref="L6">_xlfn.IFS(K6="春",_xlfn.UNIQUE(_xlfn._xlws.FILTER(U42:U50,COUNTIF(D2:D20,S42:S50)&gt;0,"无匹配")),K6="夏",_xlfn.UNIQUE(_xlfn._xlws.FILTER(U51:U59,COUNTIF(D2:D20,S51:S59)&gt;0,"无匹配")),K6="秋",_xlfn.UNIQUE(_xlfn._xlws.FILTER(U60:U68,COUNTIF(D2:D20,S60:S68)&gt;0,"无匹配")),K6="冬",_xlfn.UNIQUE(_xlfn._xlws.FILTER(U69:U77,COUNTIF(D2:D20,S69:S77)&gt;0,"无匹配")),TRUE,"")</f>
        <v>#N/A</v>
      </c>
      <c r="M6" s="106" t="e" cm="1">
        <f t="array" ref="M6">_xlfn.IFS(K6="春",_xlfn.UNIQUE(_xlfn._xlws.FILTER(W42:W50,COUNTIF(D2:D20,V42:V50)&gt;0,"无匹配")),K6="夏",_xlfn.UNIQUE(_xlfn._xlws.FILTER(W51:W59,COUNTIF(D2:D20,V51:V59)&gt;0,"无匹配")),K6="秋",_xlfn.UNIQUE(_xlfn._xlws.FILTER(W60:W68,COUNTIF(D2:D20,V60:V68)&gt;0,"无匹配")),K6="冬",_xlfn.UNIQUE(_xlfn._xlws.FILTER(W69:W77,COUNTIF(D2:D20,V69:V77)&gt;0,"无匹配")),TRUE,"")</f>
        <v>#N/A</v>
      </c>
    </row>
    <row r="7" spans="1:17">
      <c r="A7" s="2" t="s">
        <v>6</v>
      </c>
      <c r="B7" s="1"/>
      <c r="C7" s="1"/>
      <c r="D7" s="97"/>
      <c r="E7" s="1"/>
      <c r="F7" s="100"/>
      <c r="G7" s="1"/>
      <c r="H7" s="103"/>
      <c r="K7"/>
      <c r="L7"/>
      <c r="M7"/>
      <c r="N7"/>
      <c r="O7"/>
      <c r="P7" s="38"/>
      <c r="Q7" s="48"/>
    </row>
    <row r="8" spans="1:17">
      <c r="A8" s="2" t="s">
        <v>11</v>
      </c>
      <c r="B8" s="1"/>
      <c r="C8" s="1"/>
      <c r="D8" s="97"/>
      <c r="E8" s="1"/>
      <c r="F8" s="100"/>
      <c r="G8" s="1"/>
      <c r="H8" s="103"/>
      <c r="K8"/>
      <c r="L8"/>
      <c r="M8"/>
      <c r="N8"/>
      <c r="O8"/>
      <c r="P8" s="38"/>
      <c r="Q8" s="48"/>
    </row>
    <row r="9" spans="1:17">
      <c r="A9" s="95" t="s">
        <v>702</v>
      </c>
      <c r="B9" s="1"/>
      <c r="C9" s="1"/>
      <c r="D9" s="97"/>
      <c r="E9" s="1"/>
      <c r="F9" s="100"/>
      <c r="G9" s="1"/>
      <c r="H9" s="103"/>
      <c r="K9"/>
      <c r="N9"/>
      <c r="O9"/>
      <c r="P9" s="38"/>
      <c r="Q9" s="48"/>
    </row>
    <row r="10" spans="1:17" ht="14.5" thickBot="1">
      <c r="A10" s="2" t="s">
        <v>25</v>
      </c>
      <c r="B10" s="1"/>
      <c r="C10" s="1"/>
      <c r="D10" s="97"/>
      <c r="E10" s="1"/>
      <c r="F10" s="100"/>
      <c r="G10" s="1"/>
      <c r="H10" s="103"/>
      <c r="K10"/>
      <c r="L10"/>
      <c r="M10"/>
      <c r="P10" s="38"/>
      <c r="Q10" s="48"/>
    </row>
    <row r="11" spans="1:17" ht="14.5" thickBot="1">
      <c r="A11" s="2" t="s">
        <v>30</v>
      </c>
      <c r="B11" s="1"/>
      <c r="C11" s="1"/>
      <c r="D11" s="97"/>
      <c r="E11" s="1"/>
      <c r="F11" s="100"/>
      <c r="G11" s="1"/>
      <c r="H11" s="103"/>
      <c r="K11" s="224" t="str">
        <f>A199</f>
        <v>权杖2、逆位星币王后、逆位权杖6、灰天夜翳、逆位星币侍从；</v>
      </c>
      <c r="L11" s="225"/>
      <c r="M11" s="225"/>
      <c r="N11" s="225"/>
      <c r="O11" s="226"/>
      <c r="P11" s="38"/>
      <c r="Q11" s="48"/>
    </row>
    <row r="12" spans="1:17">
      <c r="A12" s="2" t="s">
        <v>35</v>
      </c>
      <c r="B12" s="1"/>
      <c r="C12" s="1"/>
      <c r="D12" s="97"/>
      <c r="E12" s="1"/>
      <c r="F12" s="100"/>
      <c r="G12" s="1"/>
      <c r="H12" s="103"/>
      <c r="K12"/>
      <c r="L12"/>
      <c r="M12"/>
      <c r="P12" s="38"/>
      <c r="Q12" s="48"/>
    </row>
    <row r="13" spans="1:17">
      <c r="A13" s="2" t="s">
        <v>40</v>
      </c>
      <c r="B13" s="1"/>
      <c r="C13" s="1"/>
      <c r="D13" s="97"/>
      <c r="E13" s="1"/>
      <c r="F13" s="100"/>
      <c r="G13" s="1"/>
      <c r="H13" s="103"/>
      <c r="K13"/>
      <c r="L13"/>
      <c r="M13"/>
      <c r="P13" s="38"/>
      <c r="Q13" s="48"/>
    </row>
    <row r="14" spans="1:17">
      <c r="A14" s="2" t="s">
        <v>45</v>
      </c>
      <c r="B14" s="1"/>
      <c r="C14" s="1"/>
      <c r="D14" s="97"/>
      <c r="E14" s="1"/>
      <c r="F14" s="100"/>
      <c r="G14" s="1"/>
      <c r="H14" s="103"/>
      <c r="K14"/>
      <c r="L14"/>
      <c r="M14"/>
      <c r="P14" s="38"/>
      <c r="Q14" s="48"/>
    </row>
    <row r="15" spans="1:17">
      <c r="A15" s="2" t="s">
        <v>50</v>
      </c>
      <c r="B15" s="1"/>
      <c r="C15" s="1"/>
      <c r="D15" s="97"/>
      <c r="E15" s="1"/>
      <c r="F15" s="100"/>
      <c r="G15" s="1"/>
      <c r="H15" s="103"/>
      <c r="K15"/>
      <c r="L15"/>
      <c r="M15"/>
      <c r="P15" s="38"/>
      <c r="Q15" s="48"/>
    </row>
    <row r="16" spans="1:17">
      <c r="A16" s="2" t="s">
        <v>55</v>
      </c>
      <c r="B16" s="1"/>
      <c r="C16" s="1"/>
      <c r="D16" s="97"/>
      <c r="E16" s="1"/>
      <c r="F16" s="100"/>
      <c r="G16" s="1"/>
      <c r="H16" s="103"/>
    </row>
    <row r="17" spans="1:8">
      <c r="A17" s="2" t="s">
        <v>60</v>
      </c>
      <c r="B17" s="1"/>
      <c r="C17" s="1"/>
      <c r="D17" s="97"/>
      <c r="E17" s="1"/>
      <c r="F17" s="100"/>
      <c r="G17" s="1"/>
      <c r="H17" s="103"/>
    </row>
    <row r="18" spans="1:8">
      <c r="A18" s="2" t="s">
        <v>65</v>
      </c>
      <c r="B18" s="1"/>
      <c r="C18" s="1"/>
      <c r="D18" s="97"/>
      <c r="E18" s="1"/>
      <c r="F18" s="100"/>
      <c r="G18" s="1"/>
      <c r="H18" s="103"/>
    </row>
    <row r="19" spans="1:8">
      <c r="A19" s="2" t="s">
        <v>2</v>
      </c>
      <c r="B19" s="1"/>
      <c r="C19" s="1"/>
      <c r="D19" s="97"/>
      <c r="E19" s="1"/>
      <c r="F19" s="100"/>
      <c r="G19" s="1"/>
      <c r="H19" s="103"/>
    </row>
    <row r="20" spans="1:8">
      <c r="A20" s="2" t="s">
        <v>7</v>
      </c>
      <c r="B20" s="1"/>
      <c r="C20" s="1"/>
      <c r="D20" s="97"/>
      <c r="E20" s="1"/>
      <c r="F20" s="100"/>
      <c r="G20" s="1"/>
      <c r="H20" s="103"/>
    </row>
    <row r="21" spans="1:8">
      <c r="A21" s="2" t="s">
        <v>12</v>
      </c>
      <c r="B21" s="1"/>
      <c r="C21" s="1"/>
      <c r="D21" s="97"/>
      <c r="E21" s="1"/>
      <c r="F21" s="100"/>
      <c r="G21" s="1"/>
      <c r="H21" s="103"/>
    </row>
    <row r="22" spans="1:8">
      <c r="A22" s="2" t="s">
        <v>21</v>
      </c>
      <c r="B22" s="1"/>
      <c r="C22" s="1"/>
      <c r="D22" s="97"/>
      <c r="E22" s="1"/>
      <c r="F22" s="100"/>
      <c r="G22" s="1"/>
      <c r="H22" s="103"/>
    </row>
    <row r="23" spans="1:8">
      <c r="A23" s="2" t="s">
        <v>26</v>
      </c>
      <c r="B23" s="1"/>
      <c r="C23" s="1"/>
      <c r="D23" s="97"/>
      <c r="E23" s="1"/>
      <c r="F23" s="100"/>
      <c r="G23" s="1"/>
      <c r="H23" s="103"/>
    </row>
    <row r="24" spans="1:8">
      <c r="A24" s="2" t="s">
        <v>31</v>
      </c>
      <c r="D24" s="97"/>
      <c r="F24" s="100"/>
      <c r="H24" s="103"/>
    </row>
    <row r="25" spans="1:8">
      <c r="A25" s="2" t="s">
        <v>36</v>
      </c>
      <c r="D25" s="97"/>
      <c r="F25" s="100"/>
      <c r="H25" s="103"/>
    </row>
    <row r="26" spans="1:8">
      <c r="A26" s="2" t="s">
        <v>41</v>
      </c>
      <c r="D26" s="97"/>
      <c r="F26" s="100"/>
      <c r="H26" s="103"/>
    </row>
    <row r="27" spans="1:8">
      <c r="A27" s="2" t="s">
        <v>46</v>
      </c>
      <c r="D27" s="97"/>
      <c r="F27" s="100"/>
      <c r="H27" s="103"/>
    </row>
    <row r="28" spans="1:8">
      <c r="A28" s="2" t="s">
        <v>51</v>
      </c>
      <c r="D28" s="97"/>
      <c r="F28" s="100"/>
      <c r="H28" s="103"/>
    </row>
    <row r="29" spans="1:8">
      <c r="A29" s="2" t="s">
        <v>56</v>
      </c>
      <c r="D29" s="97"/>
      <c r="F29" s="100"/>
      <c r="H29" s="103"/>
    </row>
    <row r="30" spans="1:8" ht="14.5" thickBot="1">
      <c r="A30" s="2" t="s">
        <v>61</v>
      </c>
      <c r="D30" s="98"/>
      <c r="F30" s="101"/>
      <c r="H30" s="104"/>
    </row>
    <row r="31" spans="1:8">
      <c r="A31" s="2" t="s">
        <v>66</v>
      </c>
    </row>
    <row r="32" spans="1:8">
      <c r="A32" s="2" t="s">
        <v>3</v>
      </c>
    </row>
    <row r="33" spans="1:23">
      <c r="A33" s="2" t="s">
        <v>8</v>
      </c>
    </row>
    <row r="34" spans="1:23">
      <c r="A34" s="2" t="s">
        <v>13</v>
      </c>
    </row>
    <row r="35" spans="1:23">
      <c r="A35" s="2" t="s">
        <v>22</v>
      </c>
    </row>
    <row r="36" spans="1:23">
      <c r="A36" s="2" t="s">
        <v>27</v>
      </c>
    </row>
    <row r="37" spans="1:23">
      <c r="A37" s="2" t="s">
        <v>32</v>
      </c>
    </row>
    <row r="38" spans="1:23">
      <c r="A38" s="2" t="s">
        <v>37</v>
      </c>
    </row>
    <row r="39" spans="1:23">
      <c r="A39" s="2" t="s">
        <v>42</v>
      </c>
    </row>
    <row r="40" spans="1:23">
      <c r="A40" s="2" t="s">
        <v>47</v>
      </c>
    </row>
    <row r="41" spans="1:23" ht="14.5" thickBot="1">
      <c r="A41" s="2" t="s">
        <v>52</v>
      </c>
    </row>
    <row r="42" spans="1:23">
      <c r="A42" s="2" t="s">
        <v>57</v>
      </c>
      <c r="Q42" s="222" t="s">
        <v>702</v>
      </c>
      <c r="R42" s="221" t="s">
        <v>324</v>
      </c>
      <c r="S42" s="221" t="s">
        <v>325</v>
      </c>
      <c r="T42" s="221" t="s">
        <v>326</v>
      </c>
      <c r="U42" s="221" t="s">
        <v>327</v>
      </c>
      <c r="V42" s="36" t="s">
        <v>25</v>
      </c>
      <c r="W42" s="49" t="s">
        <v>328</v>
      </c>
    </row>
    <row r="43" spans="1:23">
      <c r="A43" s="2" t="s">
        <v>62</v>
      </c>
      <c r="Q43" s="223"/>
      <c r="R43" s="220"/>
      <c r="S43" s="220"/>
      <c r="T43" s="220"/>
      <c r="U43" s="220"/>
      <c r="V43" s="39" t="s">
        <v>30</v>
      </c>
      <c r="W43" s="50" t="s">
        <v>329</v>
      </c>
    </row>
    <row r="44" spans="1:23">
      <c r="A44" s="2" t="s">
        <v>67</v>
      </c>
      <c r="Q44" s="223"/>
      <c r="R44" s="220"/>
      <c r="S44" s="220"/>
      <c r="T44" s="220"/>
      <c r="U44" s="220"/>
      <c r="V44" s="39" t="s">
        <v>35</v>
      </c>
      <c r="W44" s="50" t="s">
        <v>330</v>
      </c>
    </row>
    <row r="45" spans="1:23">
      <c r="A45" s="2" t="s">
        <v>4</v>
      </c>
      <c r="Q45" s="223"/>
      <c r="R45" s="220"/>
      <c r="S45" s="220" t="s">
        <v>333</v>
      </c>
      <c r="T45" s="220" t="s">
        <v>331</v>
      </c>
      <c r="U45" s="220" t="s">
        <v>332</v>
      </c>
      <c r="V45" s="39" t="s">
        <v>43</v>
      </c>
      <c r="W45" s="50" t="s">
        <v>334</v>
      </c>
    </row>
    <row r="46" spans="1:23">
      <c r="A46" s="2" t="s">
        <v>9</v>
      </c>
      <c r="Q46" s="223"/>
      <c r="R46" s="220"/>
      <c r="S46" s="220"/>
      <c r="T46" s="220"/>
      <c r="U46" s="220"/>
      <c r="V46" s="39" t="s">
        <v>48</v>
      </c>
      <c r="W46" s="50" t="s">
        <v>335</v>
      </c>
    </row>
    <row r="47" spans="1:23">
      <c r="A47" s="2" t="s">
        <v>14</v>
      </c>
      <c r="Q47" s="223"/>
      <c r="R47" s="220"/>
      <c r="S47" s="220"/>
      <c r="T47" s="220"/>
      <c r="U47" s="220"/>
      <c r="V47" s="39" t="s">
        <v>53</v>
      </c>
      <c r="W47" s="50" t="s">
        <v>336</v>
      </c>
    </row>
    <row r="48" spans="1:23">
      <c r="A48" s="2" t="s">
        <v>23</v>
      </c>
      <c r="Q48" s="223"/>
      <c r="R48" s="220"/>
      <c r="S48" s="220" t="s">
        <v>337</v>
      </c>
      <c r="T48" s="220" t="s">
        <v>338</v>
      </c>
      <c r="U48" s="220" t="s">
        <v>339</v>
      </c>
      <c r="V48" s="39" t="s">
        <v>57</v>
      </c>
      <c r="W48" s="50" t="s">
        <v>340</v>
      </c>
    </row>
    <row r="49" spans="1:23">
      <c r="A49" s="2" t="s">
        <v>28</v>
      </c>
      <c r="Q49" s="223"/>
      <c r="R49" s="220"/>
      <c r="S49" s="220"/>
      <c r="T49" s="220"/>
      <c r="U49" s="220"/>
      <c r="V49" s="39" t="s">
        <v>62</v>
      </c>
      <c r="W49" s="50" t="s">
        <v>341</v>
      </c>
    </row>
    <row r="50" spans="1:23">
      <c r="A50" s="2" t="s">
        <v>33</v>
      </c>
      <c r="Q50" s="223"/>
      <c r="R50" s="220"/>
      <c r="S50" s="220"/>
      <c r="T50" s="220"/>
      <c r="U50" s="220"/>
      <c r="V50" s="39" t="s">
        <v>67</v>
      </c>
      <c r="W50" s="50" t="s">
        <v>342</v>
      </c>
    </row>
    <row r="51" spans="1:23">
      <c r="A51" s="2" t="s">
        <v>38</v>
      </c>
      <c r="Q51" s="233" t="s">
        <v>21</v>
      </c>
      <c r="R51" s="219" t="s">
        <v>343</v>
      </c>
      <c r="S51" s="219" t="s">
        <v>355</v>
      </c>
      <c r="T51" s="219" t="s">
        <v>346</v>
      </c>
      <c r="U51" s="219" t="s">
        <v>364</v>
      </c>
      <c r="V51" s="41" t="s">
        <v>26</v>
      </c>
      <c r="W51" s="51" t="s">
        <v>373</v>
      </c>
    </row>
    <row r="52" spans="1:23">
      <c r="A52" s="2" t="s">
        <v>43</v>
      </c>
      <c r="Q52" s="233"/>
      <c r="R52" s="219"/>
      <c r="S52" s="219"/>
      <c r="T52" s="219"/>
      <c r="U52" s="219"/>
      <c r="V52" s="41" t="s">
        <v>31</v>
      </c>
      <c r="W52" s="51" t="s">
        <v>374</v>
      </c>
    </row>
    <row r="53" spans="1:23">
      <c r="A53" s="2" t="s">
        <v>48</v>
      </c>
      <c r="Q53" s="233"/>
      <c r="R53" s="219"/>
      <c r="S53" s="219"/>
      <c r="T53" s="219"/>
      <c r="U53" s="219"/>
      <c r="V53" s="41" t="s">
        <v>36</v>
      </c>
      <c r="W53" s="51" t="s">
        <v>375</v>
      </c>
    </row>
    <row r="54" spans="1:23">
      <c r="A54" s="2" t="s">
        <v>53</v>
      </c>
      <c r="Q54" s="233"/>
      <c r="R54" s="219"/>
      <c r="S54" s="219" t="s">
        <v>356</v>
      </c>
      <c r="T54" s="219" t="s">
        <v>347</v>
      </c>
      <c r="U54" s="219" t="s">
        <v>365</v>
      </c>
      <c r="V54" s="41" t="s">
        <v>40</v>
      </c>
      <c r="W54" s="51" t="s">
        <v>376</v>
      </c>
    </row>
    <row r="55" spans="1:23">
      <c r="A55" s="2" t="s">
        <v>58</v>
      </c>
      <c r="Q55" s="233"/>
      <c r="R55" s="219"/>
      <c r="S55" s="219"/>
      <c r="T55" s="219"/>
      <c r="U55" s="219"/>
      <c r="V55" s="41" t="s">
        <v>45</v>
      </c>
      <c r="W55" s="51" t="s">
        <v>377</v>
      </c>
    </row>
    <row r="56" spans="1:23">
      <c r="A56" s="2" t="s">
        <v>63</v>
      </c>
      <c r="Q56" s="233"/>
      <c r="R56" s="219"/>
      <c r="S56" s="219"/>
      <c r="T56" s="219"/>
      <c r="U56" s="219"/>
      <c r="V56" s="41" t="s">
        <v>50</v>
      </c>
      <c r="W56" s="51" t="s">
        <v>378</v>
      </c>
    </row>
    <row r="57" spans="1:23">
      <c r="A57" s="2" t="s">
        <v>68</v>
      </c>
      <c r="Q57" s="233"/>
      <c r="R57" s="219"/>
      <c r="S57" s="219" t="s">
        <v>357</v>
      </c>
      <c r="T57" s="219" t="s">
        <v>348</v>
      </c>
      <c r="U57" s="219" t="s">
        <v>366</v>
      </c>
      <c r="V57" s="41" t="s">
        <v>58</v>
      </c>
      <c r="W57" s="51" t="s">
        <v>379</v>
      </c>
    </row>
    <row r="58" spans="1:23">
      <c r="A58" s="2" t="s">
        <v>0</v>
      </c>
      <c r="Q58" s="233"/>
      <c r="R58" s="219"/>
      <c r="S58" s="219"/>
      <c r="T58" s="219"/>
      <c r="U58" s="219"/>
      <c r="V58" s="41" t="s">
        <v>63</v>
      </c>
      <c r="W58" s="51" t="s">
        <v>380</v>
      </c>
    </row>
    <row r="59" spans="1:23">
      <c r="A59" s="2" t="s">
        <v>5</v>
      </c>
      <c r="Q59" s="233"/>
      <c r="R59" s="219"/>
      <c r="S59" s="219"/>
      <c r="T59" s="219"/>
      <c r="U59" s="219"/>
      <c r="V59" s="41" t="s">
        <v>68</v>
      </c>
      <c r="W59" s="51" t="s">
        <v>381</v>
      </c>
    </row>
    <row r="60" spans="1:23">
      <c r="A60" s="2" t="s">
        <v>10</v>
      </c>
      <c r="Q60" s="213" t="s">
        <v>22</v>
      </c>
      <c r="R60" s="214" t="s">
        <v>344</v>
      </c>
      <c r="S60" s="214" t="s">
        <v>358</v>
      </c>
      <c r="T60" s="214" t="s">
        <v>349</v>
      </c>
      <c r="U60" s="214" t="s">
        <v>367</v>
      </c>
      <c r="V60" s="44" t="s">
        <v>27</v>
      </c>
      <c r="W60" s="52" t="s">
        <v>382</v>
      </c>
    </row>
    <row r="61" spans="1:23">
      <c r="A61" s="2" t="s">
        <v>15</v>
      </c>
      <c r="Q61" s="213"/>
      <c r="R61" s="214"/>
      <c r="S61" s="214"/>
      <c r="T61" s="214"/>
      <c r="U61" s="214"/>
      <c r="V61" s="44" t="s">
        <v>32</v>
      </c>
      <c r="W61" s="52" t="s">
        <v>383</v>
      </c>
    </row>
    <row r="62" spans="1:23">
      <c r="A62" s="2" t="s">
        <v>20</v>
      </c>
      <c r="Q62" s="213"/>
      <c r="R62" s="214"/>
      <c r="S62" s="214"/>
      <c r="T62" s="214"/>
      <c r="U62" s="214"/>
      <c r="V62" s="44" t="s">
        <v>37</v>
      </c>
      <c r="W62" s="52" t="s">
        <v>384</v>
      </c>
    </row>
    <row r="63" spans="1:23">
      <c r="A63" s="2" t="s">
        <v>24</v>
      </c>
      <c r="Q63" s="213"/>
      <c r="R63" s="214"/>
      <c r="S63" s="214" t="s">
        <v>359</v>
      </c>
      <c r="T63" s="214" t="s">
        <v>350</v>
      </c>
      <c r="U63" s="214" t="s">
        <v>368</v>
      </c>
      <c r="V63" s="44" t="s">
        <v>41</v>
      </c>
      <c r="W63" s="52" t="s">
        <v>385</v>
      </c>
    </row>
    <row r="64" spans="1:23">
      <c r="A64" s="2" t="s">
        <v>29</v>
      </c>
      <c r="Q64" s="213"/>
      <c r="R64" s="214"/>
      <c r="S64" s="214"/>
      <c r="T64" s="214"/>
      <c r="U64" s="214"/>
      <c r="V64" s="44" t="s">
        <v>46</v>
      </c>
      <c r="W64" s="52" t="s">
        <v>386</v>
      </c>
    </row>
    <row r="65" spans="1:23">
      <c r="A65" s="2" t="s">
        <v>34</v>
      </c>
      <c r="Q65" s="213"/>
      <c r="R65" s="214"/>
      <c r="S65" s="214"/>
      <c r="T65" s="214"/>
      <c r="U65" s="214"/>
      <c r="V65" s="44" t="s">
        <v>51</v>
      </c>
      <c r="W65" s="52" t="s">
        <v>387</v>
      </c>
    </row>
    <row r="66" spans="1:23">
      <c r="A66" s="2" t="s">
        <v>39</v>
      </c>
      <c r="Q66" s="213"/>
      <c r="R66" s="214"/>
      <c r="S66" s="214" t="s">
        <v>360</v>
      </c>
      <c r="T66" s="214" t="s">
        <v>351</v>
      </c>
      <c r="U66" s="214" t="s">
        <v>369</v>
      </c>
      <c r="V66" s="44" t="s">
        <v>55</v>
      </c>
      <c r="W66" s="52" t="s">
        <v>388</v>
      </c>
    </row>
    <row r="67" spans="1:23">
      <c r="A67" s="2" t="s">
        <v>44</v>
      </c>
      <c r="Q67" s="213"/>
      <c r="R67" s="214"/>
      <c r="S67" s="214"/>
      <c r="T67" s="214"/>
      <c r="U67" s="214"/>
      <c r="V67" s="44" t="s">
        <v>60</v>
      </c>
      <c r="W67" s="52" t="s">
        <v>389</v>
      </c>
    </row>
    <row r="68" spans="1:23">
      <c r="A68" s="2" t="s">
        <v>49</v>
      </c>
      <c r="Q68" s="213"/>
      <c r="R68" s="214"/>
      <c r="S68" s="214"/>
      <c r="T68" s="214"/>
      <c r="U68" s="214"/>
      <c r="V68" s="44" t="s">
        <v>65</v>
      </c>
      <c r="W68" s="52" t="s">
        <v>390</v>
      </c>
    </row>
    <row r="69" spans="1:23">
      <c r="A69" s="2" t="s">
        <v>54</v>
      </c>
      <c r="Q69" s="217" t="s">
        <v>23</v>
      </c>
      <c r="R69" s="215" t="s">
        <v>345</v>
      </c>
      <c r="S69" s="215" t="s">
        <v>361</v>
      </c>
      <c r="T69" s="215" t="s">
        <v>352</v>
      </c>
      <c r="U69" s="215" t="s">
        <v>370</v>
      </c>
      <c r="V69" s="46" t="s">
        <v>28</v>
      </c>
      <c r="W69" s="53" t="s">
        <v>391</v>
      </c>
    </row>
    <row r="70" spans="1:23">
      <c r="A70" s="2" t="s">
        <v>59</v>
      </c>
      <c r="Q70" s="217"/>
      <c r="R70" s="215"/>
      <c r="S70" s="215"/>
      <c r="T70" s="215"/>
      <c r="U70" s="215"/>
      <c r="V70" s="46" t="s">
        <v>33</v>
      </c>
      <c r="W70" s="53" t="s">
        <v>392</v>
      </c>
    </row>
    <row r="71" spans="1:23">
      <c r="A71" s="2" t="s">
        <v>64</v>
      </c>
      <c r="Q71" s="217"/>
      <c r="R71" s="215"/>
      <c r="S71" s="215"/>
      <c r="T71" s="215"/>
      <c r="U71" s="215"/>
      <c r="V71" s="46" t="s">
        <v>38</v>
      </c>
      <c r="W71" s="53" t="s">
        <v>393</v>
      </c>
    </row>
    <row r="72" spans="1:23">
      <c r="A72" s="2" t="s">
        <v>69</v>
      </c>
      <c r="Q72" s="217"/>
      <c r="R72" s="215"/>
      <c r="S72" s="215" t="s">
        <v>362</v>
      </c>
      <c r="T72" s="215" t="s">
        <v>353</v>
      </c>
      <c r="U72" s="215" t="s">
        <v>371</v>
      </c>
      <c r="V72" s="46" t="s">
        <v>42</v>
      </c>
      <c r="W72" s="53" t="s">
        <v>394</v>
      </c>
    </row>
    <row r="73" spans="1:23">
      <c r="A73" s="2" t="s">
        <v>70</v>
      </c>
      <c r="Q73" s="217"/>
      <c r="R73" s="215"/>
      <c r="S73" s="215"/>
      <c r="T73" s="215"/>
      <c r="U73" s="215"/>
      <c r="V73" s="46" t="s">
        <v>47</v>
      </c>
      <c r="W73" s="53" t="s">
        <v>395</v>
      </c>
    </row>
    <row r="74" spans="1:23">
      <c r="A74" s="2" t="s">
        <v>71</v>
      </c>
      <c r="Q74" s="217"/>
      <c r="R74" s="215"/>
      <c r="S74" s="215"/>
      <c r="T74" s="215"/>
      <c r="U74" s="215"/>
      <c r="V74" s="46" t="s">
        <v>52</v>
      </c>
      <c r="W74" s="53" t="s">
        <v>396</v>
      </c>
    </row>
    <row r="75" spans="1:23">
      <c r="A75" s="2" t="s">
        <v>72</v>
      </c>
      <c r="Q75" s="217"/>
      <c r="R75" s="215"/>
      <c r="S75" s="215" t="s">
        <v>363</v>
      </c>
      <c r="T75" s="215" t="s">
        <v>354</v>
      </c>
      <c r="U75" s="215" t="s">
        <v>372</v>
      </c>
      <c r="V75" s="46" t="s">
        <v>56</v>
      </c>
      <c r="W75" s="53" t="s">
        <v>397</v>
      </c>
    </row>
    <row r="76" spans="1:23">
      <c r="A76" s="2" t="s">
        <v>73</v>
      </c>
      <c r="Q76" s="217"/>
      <c r="R76" s="215"/>
      <c r="S76" s="215"/>
      <c r="T76" s="215"/>
      <c r="U76" s="215"/>
      <c r="V76" s="46" t="s">
        <v>61</v>
      </c>
      <c r="W76" s="53" t="s">
        <v>398</v>
      </c>
    </row>
    <row r="77" spans="1:23" ht="14.5" thickBot="1">
      <c r="A77" s="2" t="s">
        <v>74</v>
      </c>
      <c r="Q77" s="218"/>
      <c r="R77" s="216"/>
      <c r="S77" s="216"/>
      <c r="T77" s="216"/>
      <c r="U77" s="216"/>
      <c r="V77" s="47" t="s">
        <v>66</v>
      </c>
      <c r="W77" s="54" t="s">
        <v>399</v>
      </c>
    </row>
    <row r="78" spans="1:23">
      <c r="A78" s="2" t="s">
        <v>75</v>
      </c>
    </row>
    <row r="79" spans="1:23">
      <c r="A79" s="2" t="s">
        <v>76</v>
      </c>
    </row>
    <row r="80" spans="1:23">
      <c r="A80" s="2" t="s">
        <v>77</v>
      </c>
      <c r="Q80" s="38" t="s">
        <v>655</v>
      </c>
      <c r="R80" s="2" t="s">
        <v>0</v>
      </c>
      <c r="S80" s="38" t="s">
        <v>658</v>
      </c>
      <c r="T80" s="38" t="s">
        <v>659</v>
      </c>
      <c r="U80" s="38"/>
    </row>
    <row r="81" spans="1:21">
      <c r="A81" s="2" t="s">
        <v>78</v>
      </c>
      <c r="Q81" s="38" t="s">
        <v>655</v>
      </c>
      <c r="R81" s="2" t="s">
        <v>5</v>
      </c>
      <c r="S81" s="38" t="s">
        <v>660</v>
      </c>
      <c r="T81" s="38" t="s">
        <v>661</v>
      </c>
      <c r="U81" s="38"/>
    </row>
    <row r="82" spans="1:21">
      <c r="A82" s="2" t="s">
        <v>79</v>
      </c>
      <c r="Q82" s="38" t="s">
        <v>655</v>
      </c>
      <c r="R82" s="2" t="s">
        <v>15</v>
      </c>
      <c r="S82" s="38" t="s">
        <v>662</v>
      </c>
      <c r="T82" s="38" t="s">
        <v>663</v>
      </c>
      <c r="U82" s="38"/>
    </row>
    <row r="83" spans="1:21">
      <c r="A83" s="2" t="s">
        <v>80</v>
      </c>
      <c r="Q83" s="38" t="s">
        <v>655</v>
      </c>
      <c r="R83" s="2" t="s">
        <v>20</v>
      </c>
      <c r="S83" s="38" t="s">
        <v>664</v>
      </c>
      <c r="T83" s="38" t="s">
        <v>665</v>
      </c>
      <c r="U83" s="38"/>
    </row>
    <row r="84" spans="1:21">
      <c r="A84" s="2" t="s">
        <v>81</v>
      </c>
      <c r="Q84" s="38" t="s">
        <v>655</v>
      </c>
      <c r="R84" s="2" t="s">
        <v>34</v>
      </c>
      <c r="S84" s="38" t="s">
        <v>666</v>
      </c>
      <c r="T84" s="38" t="s">
        <v>667</v>
      </c>
      <c r="U84" s="38"/>
    </row>
    <row r="85" spans="1:21">
      <c r="A85" s="2" t="s">
        <v>82</v>
      </c>
      <c r="Q85" s="38" t="s">
        <v>655</v>
      </c>
      <c r="R85" s="2" t="s">
        <v>54</v>
      </c>
      <c r="S85" s="38" t="s">
        <v>668</v>
      </c>
      <c r="T85" s="38" t="s">
        <v>669</v>
      </c>
      <c r="U85" s="38"/>
    </row>
    <row r="86" spans="1:21">
      <c r="A86" s="2" t="s">
        <v>83</v>
      </c>
      <c r="Q86" s="38" t="s">
        <v>655</v>
      </c>
      <c r="R86" s="2" t="s">
        <v>72</v>
      </c>
      <c r="S86" s="38" t="s">
        <v>670</v>
      </c>
      <c r="T86" s="38" t="s">
        <v>671</v>
      </c>
      <c r="U86" s="38"/>
    </row>
    <row r="87" spans="1:21">
      <c r="A87" s="2" t="s">
        <v>84</v>
      </c>
      <c r="Q87" s="38" t="s">
        <v>655</v>
      </c>
      <c r="R87" s="2" t="s">
        <v>74</v>
      </c>
      <c r="S87" s="38" t="s">
        <v>672</v>
      </c>
      <c r="T87" s="38" t="s">
        <v>673</v>
      </c>
      <c r="U87" s="38"/>
    </row>
    <row r="88" spans="1:21">
      <c r="A88" s="2" t="s">
        <v>85</v>
      </c>
      <c r="Q88" s="38" t="s">
        <v>655</v>
      </c>
      <c r="R88" s="2" t="s">
        <v>76</v>
      </c>
      <c r="S88" s="38" t="s">
        <v>674</v>
      </c>
      <c r="T88" s="38" t="s">
        <v>675</v>
      </c>
      <c r="U88" s="38"/>
    </row>
    <row r="89" spans="1:21">
      <c r="A89" s="2" t="s">
        <v>86</v>
      </c>
      <c r="Q89" s="38"/>
      <c r="R89" s="38"/>
      <c r="S89" s="38"/>
      <c r="T89" s="38"/>
      <c r="U89" s="38"/>
    </row>
    <row r="90" spans="1:21">
      <c r="A90" s="2" t="s">
        <v>87</v>
      </c>
      <c r="Q90" s="38" t="s">
        <v>656</v>
      </c>
      <c r="R90" s="2" t="s">
        <v>24</v>
      </c>
      <c r="S90" s="38" t="s">
        <v>676</v>
      </c>
      <c r="T90" s="38" t="s">
        <v>677</v>
      </c>
      <c r="U90" s="38"/>
    </row>
    <row r="91" spans="1:21">
      <c r="A91" s="2" t="s">
        <v>88</v>
      </c>
      <c r="Q91" s="38" t="s">
        <v>656</v>
      </c>
      <c r="R91" s="2" t="s">
        <v>29</v>
      </c>
      <c r="S91" s="38" t="s">
        <v>678</v>
      </c>
      <c r="T91" s="38" t="s">
        <v>679</v>
      </c>
      <c r="U91" s="38"/>
    </row>
    <row r="92" spans="1:21">
      <c r="A92" s="2" t="s">
        <v>89</v>
      </c>
      <c r="Q92" s="38" t="s">
        <v>656</v>
      </c>
      <c r="R92" s="2" t="s">
        <v>10</v>
      </c>
      <c r="S92" s="38" t="s">
        <v>680</v>
      </c>
      <c r="T92" s="38" t="s">
        <v>681</v>
      </c>
      <c r="U92" s="38"/>
    </row>
    <row r="93" spans="1:21">
      <c r="A93" s="2" t="s">
        <v>90</v>
      </c>
      <c r="Q93" s="38" t="s">
        <v>656</v>
      </c>
      <c r="R93" s="2" t="s">
        <v>49</v>
      </c>
      <c r="S93" s="38" t="s">
        <v>682</v>
      </c>
      <c r="T93" s="38" t="s">
        <v>683</v>
      </c>
      <c r="U93" s="38"/>
    </row>
    <row r="94" spans="1:21">
      <c r="A94" s="2" t="s">
        <v>91</v>
      </c>
      <c r="Q94" s="38" t="s">
        <v>656</v>
      </c>
      <c r="R94" s="2" t="s">
        <v>73</v>
      </c>
      <c r="S94" s="38" t="s">
        <v>684</v>
      </c>
      <c r="T94" s="38" t="s">
        <v>685</v>
      </c>
      <c r="U94" s="38"/>
    </row>
    <row r="95" spans="1:21">
      <c r="A95" s="2" t="s">
        <v>92</v>
      </c>
      <c r="Q95" s="38" t="s">
        <v>656</v>
      </c>
      <c r="R95" s="2" t="s">
        <v>75</v>
      </c>
      <c r="S95" s="38" t="s">
        <v>686</v>
      </c>
      <c r="T95" s="38" t="s">
        <v>687</v>
      </c>
      <c r="U95" s="38"/>
    </row>
    <row r="96" spans="1:21">
      <c r="A96" s="2" t="s">
        <v>93</v>
      </c>
      <c r="Q96" s="38"/>
      <c r="R96" s="38"/>
      <c r="S96" s="38"/>
      <c r="T96" s="38"/>
      <c r="U96" s="38"/>
    </row>
    <row r="97" spans="1:21">
      <c r="A97" s="2" t="s">
        <v>94</v>
      </c>
      <c r="Q97" s="38" t="s">
        <v>657</v>
      </c>
      <c r="R97" s="2" t="s">
        <v>44</v>
      </c>
      <c r="S97" s="38" t="s">
        <v>688</v>
      </c>
      <c r="T97" s="38" t="s">
        <v>689</v>
      </c>
      <c r="U97" s="38"/>
    </row>
    <row r="98" spans="1:21">
      <c r="A98" s="2" t="s">
        <v>95</v>
      </c>
      <c r="Q98" s="38" t="s">
        <v>657</v>
      </c>
      <c r="R98" s="2" t="s">
        <v>71</v>
      </c>
      <c r="S98" s="38" t="s">
        <v>690</v>
      </c>
      <c r="T98" s="38" t="s">
        <v>691</v>
      </c>
      <c r="U98" s="38"/>
    </row>
    <row r="99" spans="1:21">
      <c r="A99" s="2" t="s">
        <v>96</v>
      </c>
      <c r="Q99" s="38" t="s">
        <v>657</v>
      </c>
      <c r="R99" s="2" t="s">
        <v>64</v>
      </c>
      <c r="S99" s="38" t="s">
        <v>692</v>
      </c>
      <c r="T99" s="38" t="s">
        <v>693</v>
      </c>
      <c r="U99" s="38"/>
    </row>
    <row r="100" spans="1:21">
      <c r="A100" s="2" t="s">
        <v>97</v>
      </c>
      <c r="Q100" s="38" t="s">
        <v>657</v>
      </c>
      <c r="R100" s="2" t="s">
        <v>70</v>
      </c>
      <c r="S100" s="38" t="s">
        <v>694</v>
      </c>
      <c r="T100" s="38" t="s">
        <v>695</v>
      </c>
      <c r="U100" s="38"/>
    </row>
    <row r="101" spans="1:21">
      <c r="A101" s="2" t="s">
        <v>98</v>
      </c>
      <c r="Q101" s="38" t="s">
        <v>657</v>
      </c>
      <c r="R101" s="2" t="s">
        <v>39</v>
      </c>
      <c r="S101" s="38" t="s">
        <v>696</v>
      </c>
      <c r="T101" s="38" t="s">
        <v>697</v>
      </c>
      <c r="U101" s="38"/>
    </row>
    <row r="102" spans="1:21">
      <c r="A102" s="2" t="s">
        <v>99</v>
      </c>
      <c r="Q102" s="38" t="s">
        <v>657</v>
      </c>
      <c r="R102" s="2" t="s">
        <v>69</v>
      </c>
      <c r="S102" s="38" t="s">
        <v>698</v>
      </c>
      <c r="T102" s="38" t="s">
        <v>699</v>
      </c>
      <c r="U102" s="38"/>
    </row>
    <row r="103" spans="1:21">
      <c r="A103" s="2" t="s">
        <v>100</v>
      </c>
      <c r="Q103" s="38" t="s">
        <v>657</v>
      </c>
      <c r="R103" s="2" t="s">
        <v>59</v>
      </c>
      <c r="S103" s="38" t="s">
        <v>700</v>
      </c>
      <c r="T103" s="38" t="s">
        <v>701</v>
      </c>
      <c r="U103" s="38"/>
    </row>
    <row r="104" spans="1:21">
      <c r="A104" s="2" t="s">
        <v>101</v>
      </c>
    </row>
    <row r="105" spans="1:21">
      <c r="A105" s="2" t="s">
        <v>102</v>
      </c>
    </row>
    <row r="106" spans="1:21">
      <c r="A106" s="2" t="s">
        <v>103</v>
      </c>
    </row>
    <row r="107" spans="1:21">
      <c r="A107" s="2" t="s">
        <v>104</v>
      </c>
    </row>
    <row r="108" spans="1:21">
      <c r="A108" s="2" t="s">
        <v>105</v>
      </c>
    </row>
    <row r="109" spans="1:21">
      <c r="A109" s="2" t="s">
        <v>106</v>
      </c>
    </row>
    <row r="110" spans="1:21">
      <c r="A110" s="2" t="s">
        <v>107</v>
      </c>
    </row>
    <row r="111" spans="1:21">
      <c r="A111" s="2" t="s">
        <v>108</v>
      </c>
    </row>
    <row r="112" spans="1:21">
      <c r="A112" s="2" t="s">
        <v>109</v>
      </c>
    </row>
    <row r="113" spans="1:1">
      <c r="A113" s="2" t="s">
        <v>110</v>
      </c>
    </row>
    <row r="114" spans="1:1">
      <c r="A114" s="2" t="s">
        <v>111</v>
      </c>
    </row>
    <row r="115" spans="1:1">
      <c r="A115" s="2" t="s">
        <v>112</v>
      </c>
    </row>
    <row r="116" spans="1:1">
      <c r="A116" s="2" t="s">
        <v>113</v>
      </c>
    </row>
    <row r="117" spans="1:1">
      <c r="A117" s="2" t="s">
        <v>114</v>
      </c>
    </row>
    <row r="118" spans="1:1">
      <c r="A118" s="2" t="s">
        <v>115</v>
      </c>
    </row>
    <row r="119" spans="1:1">
      <c r="A119" s="2" t="s">
        <v>116</v>
      </c>
    </row>
    <row r="120" spans="1:1">
      <c r="A120" s="2" t="s">
        <v>117</v>
      </c>
    </row>
    <row r="121" spans="1:1">
      <c r="A121" s="2" t="s">
        <v>118</v>
      </c>
    </row>
    <row r="122" spans="1:1">
      <c r="A122" s="2" t="s">
        <v>119</v>
      </c>
    </row>
    <row r="123" spans="1:1">
      <c r="A123" s="2" t="s">
        <v>120</v>
      </c>
    </row>
    <row r="124" spans="1:1">
      <c r="A124" s="2" t="s">
        <v>121</v>
      </c>
    </row>
    <row r="125" spans="1:1">
      <c r="A125" s="2" t="s">
        <v>122</v>
      </c>
    </row>
    <row r="126" spans="1:1">
      <c r="A126" s="2" t="s">
        <v>123</v>
      </c>
    </row>
    <row r="127" spans="1:1">
      <c r="A127" s="2" t="s">
        <v>124</v>
      </c>
    </row>
    <row r="128" spans="1:1">
      <c r="A128" s="2" t="s">
        <v>125</v>
      </c>
    </row>
    <row r="129" spans="1:1">
      <c r="A129" s="2" t="s">
        <v>126</v>
      </c>
    </row>
    <row r="130" spans="1:1">
      <c r="A130" s="2" t="s">
        <v>127</v>
      </c>
    </row>
    <row r="131" spans="1:1">
      <c r="A131" s="2" t="s">
        <v>128</v>
      </c>
    </row>
    <row r="132" spans="1:1">
      <c r="A132" s="2" t="s">
        <v>129</v>
      </c>
    </row>
    <row r="133" spans="1:1">
      <c r="A133" s="2" t="s">
        <v>130</v>
      </c>
    </row>
    <row r="134" spans="1:1">
      <c r="A134" s="2" t="s">
        <v>131</v>
      </c>
    </row>
    <row r="135" spans="1:1">
      <c r="A135" s="2" t="s">
        <v>132</v>
      </c>
    </row>
    <row r="136" spans="1:1">
      <c r="A136" s="2" t="s">
        <v>133</v>
      </c>
    </row>
    <row r="137" spans="1:1">
      <c r="A137" s="2" t="s">
        <v>134</v>
      </c>
    </row>
    <row r="138" spans="1:1">
      <c r="A138" s="2" t="s">
        <v>135</v>
      </c>
    </row>
    <row r="139" spans="1:1">
      <c r="A139" s="2" t="s">
        <v>136</v>
      </c>
    </row>
    <row r="140" spans="1:1">
      <c r="A140" s="2" t="s">
        <v>137</v>
      </c>
    </row>
    <row r="141" spans="1:1">
      <c r="A141" s="2" t="s">
        <v>138</v>
      </c>
    </row>
    <row r="142" spans="1:1">
      <c r="A142" s="2" t="s">
        <v>139</v>
      </c>
    </row>
    <row r="143" spans="1:1">
      <c r="A143" s="2" t="s">
        <v>140</v>
      </c>
    </row>
    <row r="144" spans="1:1">
      <c r="A144" s="2" t="s">
        <v>141</v>
      </c>
    </row>
    <row r="145" spans="1:1">
      <c r="A145" s="2" t="s">
        <v>142</v>
      </c>
    </row>
    <row r="146" spans="1:1">
      <c r="A146" s="2" t="s">
        <v>143</v>
      </c>
    </row>
    <row r="147" spans="1:1">
      <c r="A147" s="2" t="s">
        <v>144</v>
      </c>
    </row>
    <row r="148" spans="1:1">
      <c r="A148" s="2" t="s">
        <v>145</v>
      </c>
    </row>
    <row r="149" spans="1:1">
      <c r="A149" s="2" t="s">
        <v>146</v>
      </c>
    </row>
    <row r="150" spans="1:1">
      <c r="A150" s="2" t="s">
        <v>147</v>
      </c>
    </row>
    <row r="151" spans="1:1">
      <c r="A151" s="2" t="s">
        <v>148</v>
      </c>
    </row>
    <row r="152" spans="1:1">
      <c r="A152" s="2" t="s">
        <v>149</v>
      </c>
    </row>
    <row r="153" spans="1:1">
      <c r="A153" s="2" t="s">
        <v>150</v>
      </c>
    </row>
    <row r="154" spans="1:1">
      <c r="A154" s="2" t="s">
        <v>151</v>
      </c>
    </row>
    <row r="155" spans="1:1">
      <c r="A155" s="2" t="s">
        <v>152</v>
      </c>
    </row>
    <row r="156" spans="1:1">
      <c r="A156" s="2" t="s">
        <v>153</v>
      </c>
    </row>
    <row r="157" spans="1:1">
      <c r="A157" s="2" t="s">
        <v>154</v>
      </c>
    </row>
    <row r="158" spans="1:1">
      <c r="A158" t="s">
        <v>1551</v>
      </c>
    </row>
    <row r="159" spans="1:1">
      <c r="A159" t="s">
        <v>1552</v>
      </c>
    </row>
    <row r="160" spans="1:1">
      <c r="A160" t="s">
        <v>1553</v>
      </c>
    </row>
    <row r="161" spans="1:1">
      <c r="A161" t="s">
        <v>1554</v>
      </c>
    </row>
    <row r="162" spans="1:1">
      <c r="A162" t="s">
        <v>1555</v>
      </c>
    </row>
    <row r="163" spans="1:1">
      <c r="A163" t="s">
        <v>1556</v>
      </c>
    </row>
    <row r="164" spans="1:1">
      <c r="A164" t="s">
        <v>1557</v>
      </c>
    </row>
    <row r="165" spans="1:1">
      <c r="A165" t="s">
        <v>1558</v>
      </c>
    </row>
    <row r="166" spans="1:1">
      <c r="A166" t="s">
        <v>1559</v>
      </c>
    </row>
    <row r="167" spans="1:1">
      <c r="A167" t="s">
        <v>1560</v>
      </c>
    </row>
    <row r="168" spans="1:1">
      <c r="A168" t="s">
        <v>1561</v>
      </c>
    </row>
    <row r="169" spans="1:1">
      <c r="A169" t="s">
        <v>1562</v>
      </c>
    </row>
    <row r="170" spans="1:1">
      <c r="A170" t="s">
        <v>1563</v>
      </c>
    </row>
    <row r="171" spans="1:1">
      <c r="A171" t="s">
        <v>1564</v>
      </c>
    </row>
    <row r="172" spans="1:1">
      <c r="A172" t="s">
        <v>1565</v>
      </c>
    </row>
    <row r="173" spans="1:1">
      <c r="A173" t="s">
        <v>1566</v>
      </c>
    </row>
    <row r="174" spans="1:1">
      <c r="A174" t="s">
        <v>1567</v>
      </c>
    </row>
    <row r="175" spans="1:1">
      <c r="A175" t="s">
        <v>1568</v>
      </c>
    </row>
    <row r="176" spans="1:1">
      <c r="A176" t="s">
        <v>1569</v>
      </c>
    </row>
    <row r="177" spans="1:1">
      <c r="A177" t="s">
        <v>1570</v>
      </c>
    </row>
    <row r="178" spans="1:1">
      <c r="A178" t="s">
        <v>1571</v>
      </c>
    </row>
    <row r="179" spans="1:1">
      <c r="A179" t="s">
        <v>1572</v>
      </c>
    </row>
    <row r="180" spans="1:1">
      <c r="A180" t="s">
        <v>1573</v>
      </c>
    </row>
    <row r="181" spans="1:1">
      <c r="A181" t="s">
        <v>1574</v>
      </c>
    </row>
    <row r="182" spans="1:1">
      <c r="A182" t="s">
        <v>1575</v>
      </c>
    </row>
    <row r="183" spans="1:1">
      <c r="A183" t="s">
        <v>1576</v>
      </c>
    </row>
    <row r="184" spans="1:1">
      <c r="A184" t="s">
        <v>1577</v>
      </c>
    </row>
    <row r="185" spans="1:1">
      <c r="A185" t="s">
        <v>1578</v>
      </c>
    </row>
    <row r="186" spans="1:1">
      <c r="A186" t="s">
        <v>1579</v>
      </c>
    </row>
    <row r="187" spans="1:1">
      <c r="A187" t="s">
        <v>1580</v>
      </c>
    </row>
    <row r="188" spans="1:1">
      <c r="A188" t="s">
        <v>1581</v>
      </c>
    </row>
    <row r="189" spans="1:1">
      <c r="A189" t="s">
        <v>1582</v>
      </c>
    </row>
    <row r="190" spans="1:1">
      <c r="A190" t="s">
        <v>1583</v>
      </c>
    </row>
    <row r="191" spans="1:1">
      <c r="A191" t="s">
        <v>1584</v>
      </c>
    </row>
    <row r="192" spans="1:1">
      <c r="A192" t="s">
        <v>1585</v>
      </c>
    </row>
    <row r="193" spans="1:1">
      <c r="A193" t="s">
        <v>1586</v>
      </c>
    </row>
    <row r="194" spans="1:1">
      <c r="A194" t="s">
        <v>1589</v>
      </c>
    </row>
    <row r="195" spans="1:1">
      <c r="A195" t="s">
        <v>1587</v>
      </c>
    </row>
    <row r="196" spans="1:1">
      <c r="A196" t="s">
        <v>1590</v>
      </c>
    </row>
    <row r="197" spans="1:1">
      <c r="A197" t="s">
        <v>1588</v>
      </c>
    </row>
    <row r="198" spans="1:1">
      <c r="A198" t="s">
        <v>1591</v>
      </c>
    </row>
    <row r="199" spans="1:1">
      <c r="A199" s="3" t="str">
        <f>H2&amp;"、"&amp;H3&amp;"、"&amp;H4&amp;"、"&amp;H5&amp;"、"&amp;H6&amp;"；"</f>
        <v>权杖2、逆位星币王后、逆位权杖6、灰天夜翳、逆位星币侍从；</v>
      </c>
    </row>
  </sheetData>
  <mergeCells count="47">
    <mergeCell ref="K11:O11"/>
    <mergeCell ref="U69:U71"/>
    <mergeCell ref="U72:U74"/>
    <mergeCell ref="U75:U77"/>
    <mergeCell ref="L2:N2"/>
    <mergeCell ref="L3:N3"/>
    <mergeCell ref="U42:U44"/>
    <mergeCell ref="U45:U47"/>
    <mergeCell ref="U48:U50"/>
    <mergeCell ref="U66:U68"/>
    <mergeCell ref="Q51:Q59"/>
    <mergeCell ref="R51:R59"/>
    <mergeCell ref="S51:S53"/>
    <mergeCell ref="T51:T53"/>
    <mergeCell ref="S54:S56"/>
    <mergeCell ref="S48:S50"/>
    <mergeCell ref="T48:T50"/>
    <mergeCell ref="R42:R50"/>
    <mergeCell ref="Q42:Q50"/>
    <mergeCell ref="S42:S44"/>
    <mergeCell ref="T42:T44"/>
    <mergeCell ref="S45:S47"/>
    <mergeCell ref="T45:T47"/>
    <mergeCell ref="U51:U53"/>
    <mergeCell ref="T54:T56"/>
    <mergeCell ref="U54:U56"/>
    <mergeCell ref="S57:S59"/>
    <mergeCell ref="T57:T59"/>
    <mergeCell ref="U57:U59"/>
    <mergeCell ref="U60:U62"/>
    <mergeCell ref="S63:S65"/>
    <mergeCell ref="T63:T65"/>
    <mergeCell ref="U63:U65"/>
    <mergeCell ref="S66:S68"/>
    <mergeCell ref="T66:T68"/>
    <mergeCell ref="Q60:Q68"/>
    <mergeCell ref="R60:R68"/>
    <mergeCell ref="S60:S62"/>
    <mergeCell ref="T60:T62"/>
    <mergeCell ref="T75:T77"/>
    <mergeCell ref="Q69:Q77"/>
    <mergeCell ref="R69:R77"/>
    <mergeCell ref="S69:S71"/>
    <mergeCell ref="T69:T71"/>
    <mergeCell ref="S72:S74"/>
    <mergeCell ref="T72:T74"/>
    <mergeCell ref="S75:S77"/>
  </mergeCells>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日期开始">
                <anchor moveWithCells="1" sizeWithCells="1">
                  <from>
                    <xdr:col>2</xdr:col>
                    <xdr:colOff>101600</xdr:colOff>
                    <xdr:row>2</xdr:row>
                    <xdr:rowOff>38100</xdr:rowOff>
                  </from>
                  <to>
                    <xdr:col>2</xdr:col>
                    <xdr:colOff>971550</xdr:colOff>
                    <xdr:row>3</xdr:row>
                    <xdr:rowOff>38100</xdr:rowOff>
                  </to>
                </anchor>
              </controlPr>
            </control>
          </mc:Choice>
        </mc:AlternateContent>
        <mc:AlternateContent xmlns:mc="http://schemas.openxmlformats.org/markup-compatibility/2006">
          <mc:Choice Requires="x14">
            <control shapeId="1029" r:id="rId5" name="Button 5">
              <controlPr defaultSize="0" print="0" autoFill="0" autoPict="0" macro="[0]!日期停止">
                <anchor moveWithCells="1" sizeWithCells="1">
                  <from>
                    <xdr:col>2</xdr:col>
                    <xdr:colOff>82550</xdr:colOff>
                    <xdr:row>4</xdr:row>
                    <xdr:rowOff>12700</xdr:rowOff>
                  </from>
                  <to>
                    <xdr:col>2</xdr:col>
                    <xdr:colOff>946150</xdr:colOff>
                    <xdr:row>5</xdr:row>
                    <xdr:rowOff>31750</xdr:rowOff>
                  </to>
                </anchor>
              </controlPr>
            </control>
          </mc:Choice>
        </mc:AlternateContent>
        <mc:AlternateContent xmlns:mc="http://schemas.openxmlformats.org/markup-compatibility/2006">
          <mc:Choice Requires="x14">
            <control shapeId="1030" r:id="rId6" name="Button 6">
              <controlPr defaultSize="0" print="0" autoFill="0" autoPict="0" macro="[0]!清除">
                <anchor moveWithCells="1" sizeWithCells="1">
                  <from>
                    <xdr:col>1</xdr:col>
                    <xdr:colOff>57150</xdr:colOff>
                    <xdr:row>6</xdr:row>
                    <xdr:rowOff>57150</xdr:rowOff>
                  </from>
                  <to>
                    <xdr:col>1</xdr:col>
                    <xdr:colOff>1047750</xdr:colOff>
                    <xdr:row>7</xdr:row>
                    <xdr:rowOff>76200</xdr:rowOff>
                  </to>
                </anchor>
              </controlPr>
            </control>
          </mc:Choice>
        </mc:AlternateContent>
        <mc:AlternateContent xmlns:mc="http://schemas.openxmlformats.org/markup-compatibility/2006">
          <mc:Choice Requires="x14">
            <control shapeId="1036" r:id="rId7" name="Button 12">
              <controlPr defaultSize="0" print="0" autoFill="0" autoPict="0" macro="[0]!大牌开始">
                <anchor moveWithCells="1" sizeWithCells="1">
                  <from>
                    <xdr:col>4</xdr:col>
                    <xdr:colOff>177800</xdr:colOff>
                    <xdr:row>2</xdr:row>
                    <xdr:rowOff>0</xdr:rowOff>
                  </from>
                  <to>
                    <xdr:col>4</xdr:col>
                    <xdr:colOff>1098550</xdr:colOff>
                    <xdr:row>3</xdr:row>
                    <xdr:rowOff>31750</xdr:rowOff>
                  </to>
                </anchor>
              </controlPr>
            </control>
          </mc:Choice>
        </mc:AlternateContent>
        <mc:AlternateContent xmlns:mc="http://schemas.openxmlformats.org/markup-compatibility/2006">
          <mc:Choice Requires="x14">
            <control shapeId="1037" r:id="rId8" name="Button 13">
              <controlPr defaultSize="0" print="0" autoFill="0" autoPict="0" macro="[0]!通用开始">
                <anchor moveWithCells="1" sizeWithCells="1">
                  <from>
                    <xdr:col>6</xdr:col>
                    <xdr:colOff>146050</xdr:colOff>
                    <xdr:row>1</xdr:row>
                    <xdr:rowOff>139700</xdr:rowOff>
                  </from>
                  <to>
                    <xdr:col>6</xdr:col>
                    <xdr:colOff>1047750</xdr:colOff>
                    <xdr:row>3</xdr:row>
                    <xdr:rowOff>0</xdr:rowOff>
                  </to>
                </anchor>
              </controlPr>
            </control>
          </mc:Choice>
        </mc:AlternateContent>
        <mc:AlternateContent xmlns:mc="http://schemas.openxmlformats.org/markup-compatibility/2006">
          <mc:Choice Requires="x14">
            <control shapeId="1038" r:id="rId9" name="Button 14">
              <controlPr defaultSize="0" print="0" autoFill="0" autoPict="0" macro="[0]!大牌停止">
                <anchor moveWithCells="1" sizeWithCells="1">
                  <from>
                    <xdr:col>4</xdr:col>
                    <xdr:colOff>146050</xdr:colOff>
                    <xdr:row>4</xdr:row>
                    <xdr:rowOff>19050</xdr:rowOff>
                  </from>
                  <to>
                    <xdr:col>4</xdr:col>
                    <xdr:colOff>1085850</xdr:colOff>
                    <xdr:row>5</xdr:row>
                    <xdr:rowOff>31750</xdr:rowOff>
                  </to>
                </anchor>
              </controlPr>
            </control>
          </mc:Choice>
        </mc:AlternateContent>
        <mc:AlternateContent xmlns:mc="http://schemas.openxmlformats.org/markup-compatibility/2006">
          <mc:Choice Requires="x14">
            <control shapeId="1039" r:id="rId10" name="Button 15">
              <controlPr defaultSize="0" print="0" autoFill="0" autoPict="0" macro="[0]!通用停止">
                <anchor moveWithCells="1" sizeWithCells="1">
                  <from>
                    <xdr:col>6</xdr:col>
                    <xdr:colOff>114300</xdr:colOff>
                    <xdr:row>4</xdr:row>
                    <xdr:rowOff>0</xdr:rowOff>
                  </from>
                  <to>
                    <xdr:col>6</xdr:col>
                    <xdr:colOff>1041400</xdr:colOff>
                    <xdr:row>5</xdr:row>
                    <xdr:rowOff>44450</xdr:rowOff>
                  </to>
                </anchor>
              </controlPr>
            </control>
          </mc:Choice>
        </mc:AlternateContent>
        <mc:AlternateContent xmlns:mc="http://schemas.openxmlformats.org/markup-compatibility/2006">
          <mc:Choice Requires="x14">
            <control shapeId="1041" r:id="rId11" name="Button 17">
              <controlPr defaultSize="0" print="0" autoFill="0" autoPict="0" macro="[0]!选项开始">
                <anchor moveWithCells="1" sizeWithCells="1">
                  <from>
                    <xdr:col>8</xdr:col>
                    <xdr:colOff>158750</xdr:colOff>
                    <xdr:row>1</xdr:row>
                    <xdr:rowOff>101600</xdr:rowOff>
                  </from>
                  <to>
                    <xdr:col>8</xdr:col>
                    <xdr:colOff>1041400</xdr:colOff>
                    <xdr:row>2</xdr:row>
                    <xdr:rowOff>152400</xdr:rowOff>
                  </to>
                </anchor>
              </controlPr>
            </control>
          </mc:Choice>
        </mc:AlternateContent>
        <mc:AlternateContent xmlns:mc="http://schemas.openxmlformats.org/markup-compatibility/2006">
          <mc:Choice Requires="x14">
            <control shapeId="1042" r:id="rId12" name="Button 18">
              <controlPr defaultSize="0" print="0" autoFill="0" autoPict="0" macro="[0]!选项停止">
                <anchor moveWithCells="1" sizeWithCells="1">
                  <from>
                    <xdr:col>8</xdr:col>
                    <xdr:colOff>158750</xdr:colOff>
                    <xdr:row>3</xdr:row>
                    <xdr:rowOff>152400</xdr:rowOff>
                  </from>
                  <to>
                    <xdr:col>9</xdr:col>
                    <xdr:colOff>0</xdr:colOff>
                    <xdr:row>5</xdr:row>
                    <xdr:rowOff>12700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7B18EC-4166-4420-83BC-D5794DD084B8}">
  <sheetPr codeName="Sheet2"/>
  <dimension ref="A1:Q158"/>
  <sheetViews>
    <sheetView topLeftCell="G1" workbookViewId="0">
      <selection activeCell="L21" sqref="L21:Q21"/>
    </sheetView>
  </sheetViews>
  <sheetFormatPr defaultRowHeight="14"/>
  <cols>
    <col min="1" max="1" width="8.6640625" hidden="1" customWidth="1"/>
    <col min="2" max="2" width="5.4140625" hidden="1" customWidth="1"/>
    <col min="3" max="3" width="5.33203125" hidden="1" customWidth="1"/>
    <col min="4" max="4" width="5.6640625" hidden="1" customWidth="1"/>
    <col min="5" max="6" width="8.6640625" hidden="1" customWidth="1"/>
    <col min="11" max="11" width="5.1640625" customWidth="1"/>
    <col min="12" max="12" width="6" customWidth="1"/>
    <col min="13" max="13" width="11.83203125" customWidth="1"/>
    <col min="14" max="15" width="8.6640625" style="38"/>
    <col min="16" max="16" width="9.4140625" customWidth="1"/>
    <col min="17" max="17" width="51.08203125" customWidth="1"/>
  </cols>
  <sheetData>
    <row r="1" spans="1:17" ht="14.5" thickBot="1">
      <c r="H1" t="s">
        <v>201</v>
      </c>
      <c r="I1" t="s">
        <v>202</v>
      </c>
      <c r="J1" t="s">
        <v>278</v>
      </c>
    </row>
    <row r="2" spans="1:17">
      <c r="B2" t="s">
        <v>201</v>
      </c>
      <c r="C2" t="s">
        <v>202</v>
      </c>
      <c r="D2" t="s">
        <v>278</v>
      </c>
      <c r="G2" s="89" t="s">
        <v>155</v>
      </c>
      <c r="H2" s="87" t="str">
        <f>INDEX(B3:B6, MATCH(G2, A3:A6, 0))</f>
        <v>阳○</v>
      </c>
      <c r="I2" s="87" t="str">
        <f>INDEX(C3:C6, MATCH(G2, A3:A6, 0))</f>
        <v>阴</v>
      </c>
      <c r="J2" s="87" t="str">
        <f>INDEX(D3:D6, MATCH(G2, A3:A6, 0))</f>
        <v>阴</v>
      </c>
      <c r="K2" s="88" t="s">
        <v>195</v>
      </c>
      <c r="L2" s="256" t="s">
        <v>201</v>
      </c>
      <c r="M2" s="65" t="str">
        <f>H7&amp;""&amp;H6&amp;""&amp;H5</f>
        <v>阴○阳○阳</v>
      </c>
      <c r="N2" s="40" t="str">
        <f>INDEX(A10:A73, MATCH(M2, B10:B73, 0))&amp;""&amp;INDEX(E10:E73, MATCH(M2, B10:B73, 0))</f>
        <v>兑☱</v>
      </c>
      <c r="O2" s="37" t="str">
        <f>INDEX(F10:F73, MATCH(M2, B10:B73, 0))</f>
        <v>泽</v>
      </c>
      <c r="P2" s="246" t="str">
        <f>INDEX(A76:A154, MATCH(O2&amp;""&amp;O3&amp;""&amp;"*", A76:A154, 0))</f>
        <v>泽雷随䷐</v>
      </c>
      <c r="Q2" s="90" t="s">
        <v>279</v>
      </c>
    </row>
    <row r="3" spans="1:17" ht="14.5" thickBot="1">
      <c r="A3" s="6" t="s">
        <v>155</v>
      </c>
      <c r="B3" s="6" t="s">
        <v>222</v>
      </c>
      <c r="C3" s="6" t="s">
        <v>160</v>
      </c>
      <c r="D3" s="6" t="s">
        <v>160</v>
      </c>
      <c r="G3" s="89" t="s">
        <v>157</v>
      </c>
      <c r="H3" s="87" t="str">
        <f>INDEX(B3:B6, MATCH(G3, A3:A6, 0))</f>
        <v>阴</v>
      </c>
      <c r="I3" s="87" t="str">
        <f>INDEX(C3:C6, MATCH(G3, A3:A6, 0))</f>
        <v>阴</v>
      </c>
      <c r="J3" s="87" t="str">
        <f>INDEX(D3:D6, MATCH(G3, A3:A6, 0))</f>
        <v>阳</v>
      </c>
      <c r="K3" s="88" t="s">
        <v>196</v>
      </c>
      <c r="L3" s="257"/>
      <c r="M3" s="66" t="str">
        <f>H4&amp;""&amp;H3&amp;""&amp;H2</f>
        <v>阴○阴阳○</v>
      </c>
      <c r="N3" s="42" t="str">
        <f>INDEX(A10:A73, MATCH(M3, B10:B73, 0))&amp;""&amp;INDEX(E10:E73, MATCH(M3, B10:B73, 0))</f>
        <v>震☳</v>
      </c>
      <c r="O3" s="35" t="str">
        <f>INDEX(F10:F73, MATCH(M3, B10:B73, 0))</f>
        <v>雷</v>
      </c>
      <c r="P3" s="247"/>
      <c r="Q3" s="60" t="str">
        <f>INDEX(C76:C154, MATCH(O2&amp;""&amp;O3&amp;""&amp;"*", A76:A154, 0))</f>
        <v>跟随、顺应、追随、灵活应变</v>
      </c>
    </row>
    <row r="4" spans="1:17" ht="14.5" thickBot="1">
      <c r="A4" s="6" t="s">
        <v>156</v>
      </c>
      <c r="B4" s="6" t="s">
        <v>159</v>
      </c>
      <c r="C4" s="6" t="s">
        <v>159</v>
      </c>
      <c r="D4" s="6" t="s">
        <v>160</v>
      </c>
      <c r="G4" s="89" t="s">
        <v>158</v>
      </c>
      <c r="H4" s="87" t="str">
        <f>INDEX(B3:B6, MATCH(G4, A3:A6, 0))</f>
        <v>阴○</v>
      </c>
      <c r="I4" s="87" t="str">
        <f>INDEX(C3:C6, MATCH(G4, A3:A6, 0))</f>
        <v>阳</v>
      </c>
      <c r="J4" s="87" t="str">
        <f>INDEX(D3:D6, MATCH(G4, A3:A6, 0))</f>
        <v>阳</v>
      </c>
      <c r="K4" s="88" t="s">
        <v>197</v>
      </c>
    </row>
    <row r="5" spans="1:17">
      <c r="A5" s="6" t="s">
        <v>157</v>
      </c>
      <c r="B5" s="6" t="s">
        <v>160</v>
      </c>
      <c r="C5" s="6" t="s">
        <v>160</v>
      </c>
      <c r="D5" s="6" t="s">
        <v>159</v>
      </c>
      <c r="G5" s="89" t="s">
        <v>156</v>
      </c>
      <c r="H5" s="87" t="str">
        <f>INDEX(B3:B6, MATCH(G5, A3:A6, 0))</f>
        <v>阳</v>
      </c>
      <c r="I5" s="87" t="str">
        <f>INDEX(C3:C6, MATCH(G5, A3:A6, 0))</f>
        <v>阳</v>
      </c>
      <c r="J5" s="87" t="str">
        <f>INDEX(D3:D6, MATCH(G5, A3:A6, 0))</f>
        <v>阴</v>
      </c>
      <c r="K5" s="88" t="s">
        <v>198</v>
      </c>
      <c r="L5" s="258" t="s">
        <v>645</v>
      </c>
      <c r="M5" s="67" t="str">
        <f>I7&amp;""&amp;I6&amp;""&amp;I5</f>
        <v>阳阴阳</v>
      </c>
      <c r="N5" s="75" t="str">
        <f>INDEX(A10:A73, MATCH(M5, B10:B73, 0))&amp;""&amp;INDEX(E10:E73, MATCH(M5, B10:B73, 0))</f>
        <v>离☲</v>
      </c>
      <c r="O5" s="76" t="str">
        <f>INDEX(F10:F73, MATCH(M5, B10:B73, 0))</f>
        <v>火</v>
      </c>
      <c r="P5" s="248" t="str">
        <f>INDEX(A76:A154, MATCH(O5&amp;""&amp;O6&amp;""&amp;"*", A76:A154, 0))</f>
        <v>火山旅䷷</v>
      </c>
      <c r="Q5" s="91" t="s">
        <v>280</v>
      </c>
    </row>
    <row r="6" spans="1:17" ht="14.5" thickBot="1">
      <c r="A6" s="6" t="s">
        <v>158</v>
      </c>
      <c r="B6" s="6" t="s">
        <v>223</v>
      </c>
      <c r="C6" s="6" t="s">
        <v>159</v>
      </c>
      <c r="D6" s="6" t="s">
        <v>159</v>
      </c>
      <c r="G6" s="89" t="s">
        <v>155</v>
      </c>
      <c r="H6" s="87" t="str">
        <f>INDEX(B3:B6, MATCH(G6, A3:A6, 0))</f>
        <v>阳○</v>
      </c>
      <c r="I6" s="87" t="str">
        <f>INDEX(C3:C6, MATCH(G6, A3:A6, 0))</f>
        <v>阴</v>
      </c>
      <c r="J6" s="87" t="str">
        <f>INDEX(D3:D6, MATCH(G6, A3:A6, 0))</f>
        <v>阴</v>
      </c>
      <c r="K6" s="88" t="s">
        <v>199</v>
      </c>
      <c r="L6" s="259"/>
      <c r="M6" s="68" t="str">
        <f>I4&amp;""&amp;I3&amp;""&amp;I2</f>
        <v>阳阴阴</v>
      </c>
      <c r="N6" s="77" t="str">
        <f>INDEX(A10:A73, MATCH(M6, B10:B73, 0))&amp;""&amp;INDEX(E10:E73, MATCH(M6, B10:B73, 0))</f>
        <v>艮☶</v>
      </c>
      <c r="O6" s="78" t="str">
        <f>INDEX(F10:F73, MATCH(M6, B10:B73, 0))</f>
        <v>山</v>
      </c>
      <c r="P6" s="249"/>
      <c r="Q6" s="61" t="str">
        <f>INDEX(C76:C154, MATCH(O5&amp;""&amp;O6&amp;""&amp;"*", A76:A154, 0))</f>
        <v>旅行、客居、流浪、旅途、不安定</v>
      </c>
    </row>
    <row r="7" spans="1:17" ht="14.5" thickBot="1">
      <c r="G7" s="89" t="s">
        <v>158</v>
      </c>
      <c r="H7" s="87" t="str">
        <f>INDEX(B3:B6, MATCH(G7, A3:A6, 0))</f>
        <v>阴○</v>
      </c>
      <c r="I7" s="87" t="str">
        <f>INDEX(C3:C6, MATCH(G7, A3:A6, 0))</f>
        <v>阳</v>
      </c>
      <c r="J7" s="87" t="str">
        <f>INDEX(D3:D6, MATCH(G7, A3:A6, 0))</f>
        <v>阳</v>
      </c>
      <c r="K7" s="88" t="s">
        <v>200</v>
      </c>
    </row>
    <row r="8" spans="1:17">
      <c r="L8" s="260" t="s">
        <v>646</v>
      </c>
      <c r="M8" s="69" t="str">
        <f>H6&amp;""&amp;H5&amp;""&amp;H4</f>
        <v>阳○阳阴○</v>
      </c>
      <c r="N8" s="36" t="str">
        <f>INDEX(A10:A73, MATCH(M8, B10:B73, 0))&amp;""&amp;INDEX(E10:E73, MATCH(M8, B10:B73, 0))</f>
        <v>巽☴</v>
      </c>
      <c r="O8" s="79" t="str">
        <f>INDEX(F10:F73, MATCH(M8, B10:B73, 0))</f>
        <v>风</v>
      </c>
      <c r="P8" s="250" t="str">
        <f>INDEX(A76:A154, MATCH(O8&amp;""&amp;O9&amp;""&amp;"*", A76:A154, 0))</f>
        <v>风山渐䷴</v>
      </c>
      <c r="Q8" s="92" t="s">
        <v>281</v>
      </c>
    </row>
    <row r="9" spans="1:17" ht="14.5" thickBot="1">
      <c r="L9" s="261"/>
      <c r="M9" s="70" t="str">
        <f>H5&amp;""&amp;H4&amp;""&amp;H3</f>
        <v>阳阴○阴</v>
      </c>
      <c r="N9" s="34" t="str">
        <f>INDEX(A10:A73, MATCH(M9, B10:B73, 0))&amp;""&amp;INDEX(E10:E73, MATCH(M9, B10:B73, 0))</f>
        <v>艮☶</v>
      </c>
      <c r="O9" s="80" t="str">
        <f>INDEX(F10:F73, MATCH(M9, B10:B73, 0))</f>
        <v>山</v>
      </c>
      <c r="P9" s="251"/>
      <c r="Q9" s="62" t="str">
        <f>INDEX(C76:C154, MATCH(O8&amp;""&amp;O9&amp;""&amp;"*", A76:A154, 0))</f>
        <v>渐进、循序渐进、女归、缓慢前进</v>
      </c>
    </row>
    <row r="10" spans="1:17" ht="14.5" thickBot="1">
      <c r="A10" s="7" t="s">
        <v>162</v>
      </c>
      <c r="B10" s="10" t="s">
        <v>161</v>
      </c>
      <c r="C10" s="11"/>
      <c r="D10" s="12"/>
      <c r="E10" s="7" t="s">
        <v>163</v>
      </c>
      <c r="F10" t="s">
        <v>185</v>
      </c>
    </row>
    <row r="11" spans="1:17" ht="17" thickBot="1">
      <c r="A11" s="7" t="s">
        <v>162</v>
      </c>
      <c r="B11" s="13" t="s">
        <v>284</v>
      </c>
      <c r="D11" s="14"/>
      <c r="E11" s="23" t="s">
        <v>204</v>
      </c>
      <c r="F11" t="s">
        <v>185</v>
      </c>
      <c r="L11" s="262" t="s">
        <v>278</v>
      </c>
      <c r="M11" s="71" t="str">
        <f>J7&amp;""&amp;J6&amp;""&amp;J5</f>
        <v>阳阴阴</v>
      </c>
      <c r="N11" s="81" t="str">
        <f>INDEX(A10:A73, MATCH(M11, B10:B73, 0))&amp;""&amp;INDEX(E10:E73, MATCH(M11, B10:B73, 0))</f>
        <v>艮☶</v>
      </c>
      <c r="O11" s="82" t="str">
        <f>INDEX(F10:F73, MATCH(M11, B10:B73, 0))</f>
        <v>山</v>
      </c>
      <c r="P11" s="252" t="str">
        <f>INDEX(A76:A154, MATCH(O11&amp;""&amp;O12&amp;""&amp;"*", A76:A154, 0))</f>
        <v>山风蛊䷑</v>
      </c>
      <c r="Q11" s="93" t="s">
        <v>282</v>
      </c>
    </row>
    <row r="12" spans="1:17" ht="14.5" thickBot="1">
      <c r="A12" s="7" t="s">
        <v>162</v>
      </c>
      <c r="B12" s="13" t="s">
        <v>224</v>
      </c>
      <c r="D12" s="14"/>
      <c r="E12" s="8" t="s">
        <v>163</v>
      </c>
      <c r="F12" t="s">
        <v>185</v>
      </c>
      <c r="L12" s="263"/>
      <c r="M12" s="72" t="str">
        <f>J4&amp;""&amp;J3&amp;""&amp;J2</f>
        <v>阳阳阴</v>
      </c>
      <c r="N12" s="83" t="str">
        <f>INDEX(A10:A73, MATCH(M12, B10:B73, 0))&amp;""&amp;INDEX(E10:E73, MATCH(M12, B10:B73, 0))</f>
        <v>巽☴</v>
      </c>
      <c r="O12" s="84" t="str">
        <f>INDEX(F10:F73, MATCH(M12, B10:B73, 0))</f>
        <v>风</v>
      </c>
      <c r="P12" s="253"/>
      <c r="Q12" s="63" t="str">
        <f>INDEX(C76:C154, MATCH(O11&amp;""&amp;O12&amp;""&amp;"*", A76:A154, 0))</f>
        <v>腐败、整顿、治理、弊病、革新</v>
      </c>
    </row>
    <row r="13" spans="1:17" ht="14.5" customHeight="1" thickBot="1">
      <c r="A13" s="7" t="s">
        <v>162</v>
      </c>
      <c r="B13" s="13" t="s">
        <v>225</v>
      </c>
      <c r="D13" s="14"/>
      <c r="E13" s="8" t="s">
        <v>163</v>
      </c>
      <c r="F13" t="s">
        <v>185</v>
      </c>
      <c r="H13" s="234" t="s">
        <v>1517</v>
      </c>
      <c r="I13" s="235"/>
      <c r="J13" s="236"/>
    </row>
    <row r="14" spans="1:17" ht="14.5" thickBot="1">
      <c r="A14" s="7" t="s">
        <v>162</v>
      </c>
      <c r="B14" s="13" t="s">
        <v>226</v>
      </c>
      <c r="D14" s="14"/>
      <c r="E14" s="8" t="s">
        <v>163</v>
      </c>
      <c r="F14" t="s">
        <v>185</v>
      </c>
      <c r="H14" s="237"/>
      <c r="I14" s="238"/>
      <c r="J14" s="239"/>
      <c r="L14" s="264" t="s">
        <v>647</v>
      </c>
      <c r="M14" s="73" t="str">
        <f>H2&amp;""&amp;H3&amp;""&amp;H4</f>
        <v>阳○阴阴○</v>
      </c>
      <c r="N14" s="43" t="str">
        <f>INDEX(A10:A73, MATCH(M14, B10:B73, 0))&amp;""&amp;INDEX(E10:E73, MATCH(M14, B10:B73, 0))</f>
        <v>艮☶</v>
      </c>
      <c r="O14" s="85" t="str">
        <f>INDEX(F10:F73, MATCH(M14, B10:B73, 0))</f>
        <v>山</v>
      </c>
      <c r="P14" s="254" t="str">
        <f>INDEX(A76:A154, MATCH(O14&amp;""&amp;O15&amp;""&amp;"*", A76:A154, 0))</f>
        <v>山风蛊䷑</v>
      </c>
      <c r="Q14" s="94" t="s">
        <v>804</v>
      </c>
    </row>
    <row r="15" spans="1:17" ht="14.5" thickBot="1">
      <c r="A15" s="7" t="s">
        <v>162</v>
      </c>
      <c r="B15" s="13" t="s">
        <v>227</v>
      </c>
      <c r="D15" s="14"/>
      <c r="E15" s="8" t="s">
        <v>163</v>
      </c>
      <c r="F15" t="s">
        <v>185</v>
      </c>
      <c r="H15" s="240"/>
      <c r="I15" s="241"/>
      <c r="J15" s="242"/>
      <c r="L15" s="265"/>
      <c r="M15" s="74" t="str">
        <f>H5&amp;""&amp;H6&amp;""&amp;H7</f>
        <v>阳阳○阴○</v>
      </c>
      <c r="N15" s="45" t="str">
        <f>INDEX(A10:A73, MATCH(M15, B10:B73, 0))&amp;""&amp;INDEX(E10:E73, MATCH(M15, B10:B73, 0))</f>
        <v>巽☴</v>
      </c>
      <c r="O15" s="86" t="str">
        <f>INDEX(F10:F73, MATCH(M15, B10:B73, 0))</f>
        <v>风</v>
      </c>
      <c r="P15" s="255"/>
      <c r="Q15" s="64" t="str">
        <f>INDEX(C76:C154, MATCH(O14&amp;""&amp;O15&amp;""&amp;"*", A76:A154, 0))</f>
        <v>腐败、整顿、治理、弊病、革新</v>
      </c>
    </row>
    <row r="16" spans="1:17" ht="14.5" thickBot="1">
      <c r="A16" s="7" t="s">
        <v>162</v>
      </c>
      <c r="B16" s="13" t="s">
        <v>228</v>
      </c>
      <c r="D16" s="14"/>
      <c r="E16" s="8" t="s">
        <v>163</v>
      </c>
      <c r="F16" t="s">
        <v>185</v>
      </c>
    </row>
    <row r="17" spans="1:17" ht="14.5" thickBot="1">
      <c r="A17" s="19" t="s">
        <v>162</v>
      </c>
      <c r="B17" s="15" t="s">
        <v>229</v>
      </c>
      <c r="C17" s="16"/>
      <c r="D17" s="17"/>
      <c r="E17" s="9" t="s">
        <v>163</v>
      </c>
      <c r="F17" t="s">
        <v>185</v>
      </c>
      <c r="P17" t="str">
        <f>"世爻"&amp;INDEX(D76:D154,MATCH(P2,A76:A154,0))</f>
        <v>世爻三</v>
      </c>
    </row>
    <row r="18" spans="1:17" ht="17" thickBot="1">
      <c r="A18" s="18" t="s">
        <v>165</v>
      </c>
      <c r="B18" s="10" t="s">
        <v>166</v>
      </c>
      <c r="C18" s="11"/>
      <c r="D18" s="12"/>
      <c r="E18" s="24" t="s">
        <v>205</v>
      </c>
      <c r="F18" t="s">
        <v>186</v>
      </c>
      <c r="P18" t="str">
        <f>"应爻"&amp;INDEX(E76:E154,MATCH(P2,A76:A154,0))</f>
        <v>应爻上</v>
      </c>
    </row>
    <row r="19" spans="1:17" ht="14.5" thickBot="1">
      <c r="A19" s="18" t="s">
        <v>165</v>
      </c>
      <c r="B19" s="13" t="s">
        <v>230</v>
      </c>
      <c r="D19" s="14"/>
      <c r="E19" s="8" t="s">
        <v>164</v>
      </c>
      <c r="F19" t="s">
        <v>186</v>
      </c>
      <c r="P19" t="str" cm="1">
        <f t="array" ref="P19">"动爻"&amp;_xlfn.TEXTJOIN("、",TRUE,_xlfn._xlws.FILTER(K2:K7,ISNUMBER(SEARCH("*○*",H2:H7)),""))</f>
        <v>动爻初、三、五、上</v>
      </c>
    </row>
    <row r="20" spans="1:17" ht="14.5" thickBot="1">
      <c r="A20" s="18" t="s">
        <v>165</v>
      </c>
      <c r="B20" s="13" t="s">
        <v>231</v>
      </c>
      <c r="D20" s="14"/>
      <c r="E20" s="8" t="s">
        <v>164</v>
      </c>
      <c r="F20" t="s">
        <v>186</v>
      </c>
    </row>
    <row r="21" spans="1:17" ht="14.5" thickBot="1">
      <c r="A21" s="18" t="s">
        <v>165</v>
      </c>
      <c r="B21" s="13" t="s">
        <v>242</v>
      </c>
      <c r="D21" s="14"/>
      <c r="E21" s="8" t="s">
        <v>164</v>
      </c>
      <c r="F21" t="s">
        <v>186</v>
      </c>
      <c r="L21" s="243" t="str">
        <f>A158</f>
        <v>本卦泽雷随，动爻初、三、五、上，世爻三，应爻上，变卦火山旅，互卦风山渐，错卦山风蛊，综卦山风蛊；</v>
      </c>
      <c r="M21" s="244"/>
      <c r="N21" s="244"/>
      <c r="O21" s="244"/>
      <c r="P21" s="244"/>
      <c r="Q21" s="245"/>
    </row>
    <row r="22" spans="1:17" ht="14.5" thickBot="1">
      <c r="A22" s="18" t="s">
        <v>165</v>
      </c>
      <c r="B22" s="13" t="s">
        <v>243</v>
      </c>
      <c r="D22" s="14"/>
      <c r="E22" s="8" t="s">
        <v>164</v>
      </c>
      <c r="F22" t="s">
        <v>186</v>
      </c>
    </row>
    <row r="23" spans="1:17" ht="14.5" thickBot="1">
      <c r="A23" s="18" t="s">
        <v>165</v>
      </c>
      <c r="B23" s="13" t="s">
        <v>244</v>
      </c>
      <c r="D23" s="14"/>
      <c r="E23" s="8" t="s">
        <v>164</v>
      </c>
      <c r="F23" t="s">
        <v>186</v>
      </c>
    </row>
    <row r="24" spans="1:17" ht="14.5" thickBot="1">
      <c r="A24" s="18" t="s">
        <v>165</v>
      </c>
      <c r="B24" s="13" t="s">
        <v>232</v>
      </c>
      <c r="D24" s="14"/>
      <c r="E24" s="8" t="s">
        <v>164</v>
      </c>
      <c r="F24" t="s">
        <v>186</v>
      </c>
    </row>
    <row r="25" spans="1:17" ht="14.5" thickBot="1">
      <c r="A25" s="21" t="s">
        <v>165</v>
      </c>
      <c r="B25" s="15" t="s">
        <v>245</v>
      </c>
      <c r="C25" s="16"/>
      <c r="D25" s="17"/>
      <c r="E25" s="9" t="s">
        <v>164</v>
      </c>
      <c r="F25" t="s">
        <v>186</v>
      </c>
    </row>
    <row r="26" spans="1:17" ht="14.5" thickBot="1">
      <c r="A26" s="20" t="s">
        <v>168</v>
      </c>
      <c r="B26" s="13" t="s">
        <v>169</v>
      </c>
      <c r="D26" s="14"/>
      <c r="E26" s="8" t="s">
        <v>167</v>
      </c>
      <c r="F26" t="s">
        <v>187</v>
      </c>
    </row>
    <row r="27" spans="1:17" ht="17" thickBot="1">
      <c r="A27" s="18" t="s">
        <v>168</v>
      </c>
      <c r="B27" s="13" t="s">
        <v>233</v>
      </c>
      <c r="D27" s="14"/>
      <c r="E27" s="23" t="s">
        <v>206</v>
      </c>
      <c r="F27" t="s">
        <v>187</v>
      </c>
    </row>
    <row r="28" spans="1:17" ht="14.5" thickBot="1">
      <c r="A28" s="18" t="s">
        <v>168</v>
      </c>
      <c r="B28" s="13" t="s">
        <v>283</v>
      </c>
      <c r="D28" s="14"/>
      <c r="E28" s="8" t="s">
        <v>167</v>
      </c>
      <c r="F28" t="s">
        <v>187</v>
      </c>
    </row>
    <row r="29" spans="1:17" ht="14.5" thickBot="1">
      <c r="A29" s="18" t="s">
        <v>168</v>
      </c>
      <c r="B29" s="13" t="s">
        <v>234</v>
      </c>
      <c r="D29" s="14"/>
      <c r="E29" s="8" t="s">
        <v>167</v>
      </c>
      <c r="F29" t="s">
        <v>187</v>
      </c>
    </row>
    <row r="30" spans="1:17" ht="14.5" thickBot="1">
      <c r="A30" s="18" t="s">
        <v>168</v>
      </c>
      <c r="B30" s="13" t="s">
        <v>246</v>
      </c>
      <c r="D30" s="14"/>
      <c r="E30" s="8" t="s">
        <v>167</v>
      </c>
      <c r="F30" t="s">
        <v>187</v>
      </c>
    </row>
    <row r="31" spans="1:17" ht="14.5" thickBot="1">
      <c r="A31" s="18" t="s">
        <v>168</v>
      </c>
      <c r="B31" s="13" t="s">
        <v>235</v>
      </c>
      <c r="D31" s="14"/>
      <c r="E31" s="8" t="s">
        <v>167</v>
      </c>
      <c r="F31" t="s">
        <v>187</v>
      </c>
    </row>
    <row r="32" spans="1:17" ht="14.5" thickBot="1">
      <c r="A32" s="18" t="s">
        <v>168</v>
      </c>
      <c r="B32" s="13" t="s">
        <v>247</v>
      </c>
      <c r="D32" s="14"/>
      <c r="E32" s="8" t="s">
        <v>167</v>
      </c>
      <c r="F32" t="s">
        <v>187</v>
      </c>
    </row>
    <row r="33" spans="1:6" ht="14.5" thickBot="1">
      <c r="A33" s="18" t="s">
        <v>168</v>
      </c>
      <c r="B33" s="13" t="s">
        <v>248</v>
      </c>
      <c r="D33" s="14"/>
      <c r="E33" s="8" t="s">
        <v>167</v>
      </c>
      <c r="F33" t="s">
        <v>187</v>
      </c>
    </row>
    <row r="34" spans="1:6" ht="14.5" thickBot="1">
      <c r="A34" s="7" t="s">
        <v>172</v>
      </c>
      <c r="B34" s="10" t="s">
        <v>173</v>
      </c>
      <c r="C34" s="11"/>
      <c r="D34" s="12"/>
      <c r="E34" s="7" t="s">
        <v>171</v>
      </c>
      <c r="F34" t="s">
        <v>188</v>
      </c>
    </row>
    <row r="35" spans="1:6" ht="17" thickBot="1">
      <c r="A35" s="7" t="s">
        <v>172</v>
      </c>
      <c r="B35" s="13" t="s">
        <v>236</v>
      </c>
      <c r="D35" s="14"/>
      <c r="E35" s="23" t="s">
        <v>207</v>
      </c>
      <c r="F35" t="s">
        <v>188</v>
      </c>
    </row>
    <row r="36" spans="1:6" ht="14.5" thickBot="1">
      <c r="A36" s="7" t="s">
        <v>172</v>
      </c>
      <c r="B36" s="13" t="s">
        <v>249</v>
      </c>
      <c r="D36" s="14"/>
      <c r="E36" s="8" t="s">
        <v>171</v>
      </c>
      <c r="F36" t="s">
        <v>188</v>
      </c>
    </row>
    <row r="37" spans="1:6" ht="14.5" thickBot="1">
      <c r="A37" s="7" t="s">
        <v>172</v>
      </c>
      <c r="B37" s="13" t="s">
        <v>250</v>
      </c>
      <c r="D37" s="14"/>
      <c r="E37" s="8" t="s">
        <v>171</v>
      </c>
      <c r="F37" t="s">
        <v>188</v>
      </c>
    </row>
    <row r="38" spans="1:6" ht="14.5" thickBot="1">
      <c r="A38" s="7" t="s">
        <v>172</v>
      </c>
      <c r="B38" s="13" t="s">
        <v>251</v>
      </c>
      <c r="D38" s="14"/>
      <c r="E38" s="8" t="s">
        <v>171</v>
      </c>
      <c r="F38" t="s">
        <v>188</v>
      </c>
    </row>
    <row r="39" spans="1:6" ht="14.5" thickBot="1">
      <c r="A39" s="7" t="s">
        <v>172</v>
      </c>
      <c r="B39" s="13" t="s">
        <v>252</v>
      </c>
      <c r="D39" s="14"/>
      <c r="E39" s="8" t="s">
        <v>171</v>
      </c>
      <c r="F39" t="s">
        <v>188</v>
      </c>
    </row>
    <row r="40" spans="1:6" ht="14.5" thickBot="1">
      <c r="A40" s="7" t="s">
        <v>172</v>
      </c>
      <c r="B40" s="13" t="s">
        <v>253</v>
      </c>
      <c r="D40" s="14"/>
      <c r="E40" s="8" t="s">
        <v>171</v>
      </c>
      <c r="F40" t="s">
        <v>188</v>
      </c>
    </row>
    <row r="41" spans="1:6" ht="14.5" thickBot="1">
      <c r="A41" s="19" t="s">
        <v>172</v>
      </c>
      <c r="B41" s="15" t="s">
        <v>254</v>
      </c>
      <c r="C41" s="16"/>
      <c r="D41" s="17"/>
      <c r="E41" s="9" t="s">
        <v>171</v>
      </c>
      <c r="F41" t="s">
        <v>188</v>
      </c>
    </row>
    <row r="42" spans="1:6" ht="14.5" thickBot="1">
      <c r="A42" s="8" t="s">
        <v>175</v>
      </c>
      <c r="B42" s="13" t="s">
        <v>176</v>
      </c>
      <c r="D42" s="14"/>
      <c r="E42" s="8" t="s">
        <v>174</v>
      </c>
      <c r="F42" t="s">
        <v>189</v>
      </c>
    </row>
    <row r="43" spans="1:6" ht="14.5" thickBot="1">
      <c r="A43" s="7" t="s">
        <v>175</v>
      </c>
      <c r="B43" s="13" t="s">
        <v>255</v>
      </c>
      <c r="D43" s="14"/>
      <c r="E43" s="8" t="s">
        <v>174</v>
      </c>
      <c r="F43" t="s">
        <v>189</v>
      </c>
    </row>
    <row r="44" spans="1:6" ht="17" thickBot="1">
      <c r="A44" s="7" t="s">
        <v>175</v>
      </c>
      <c r="B44" s="13" t="s">
        <v>237</v>
      </c>
      <c r="D44" s="14"/>
      <c r="E44" s="23" t="s">
        <v>208</v>
      </c>
      <c r="F44" t="s">
        <v>189</v>
      </c>
    </row>
    <row r="45" spans="1:6" ht="14.5" thickBot="1">
      <c r="A45" s="7" t="s">
        <v>175</v>
      </c>
      <c r="B45" s="13" t="s">
        <v>238</v>
      </c>
      <c r="D45" s="14"/>
      <c r="E45" s="8" t="s">
        <v>174</v>
      </c>
      <c r="F45" t="s">
        <v>189</v>
      </c>
    </row>
    <row r="46" spans="1:6" ht="14.5" thickBot="1">
      <c r="A46" s="7" t="s">
        <v>175</v>
      </c>
      <c r="B46" s="13" t="s">
        <v>239</v>
      </c>
      <c r="D46" s="14"/>
      <c r="E46" s="8" t="s">
        <v>174</v>
      </c>
      <c r="F46" t="s">
        <v>189</v>
      </c>
    </row>
    <row r="47" spans="1:6" ht="14.5" thickBot="1">
      <c r="A47" s="7" t="s">
        <v>175</v>
      </c>
      <c r="B47" s="13" t="s">
        <v>256</v>
      </c>
      <c r="D47" s="14"/>
      <c r="E47" s="8" t="s">
        <v>174</v>
      </c>
      <c r="F47" t="s">
        <v>189</v>
      </c>
    </row>
    <row r="48" spans="1:6" ht="14.5" thickBot="1">
      <c r="A48" s="7" t="s">
        <v>175</v>
      </c>
      <c r="B48" s="13" t="s">
        <v>257</v>
      </c>
      <c r="D48" s="14"/>
      <c r="E48" s="8" t="s">
        <v>174</v>
      </c>
      <c r="F48" t="s">
        <v>189</v>
      </c>
    </row>
    <row r="49" spans="1:6" ht="14.5" thickBot="1">
      <c r="A49" s="7" t="s">
        <v>175</v>
      </c>
      <c r="B49" s="15" t="s">
        <v>258</v>
      </c>
      <c r="C49" s="16"/>
      <c r="D49" s="17"/>
      <c r="E49" s="8" t="s">
        <v>174</v>
      </c>
      <c r="F49" t="s">
        <v>189</v>
      </c>
    </row>
    <row r="50" spans="1:6" ht="14.5" thickBot="1">
      <c r="A50" s="7" t="s">
        <v>178</v>
      </c>
      <c r="B50" s="10" t="s">
        <v>179</v>
      </c>
      <c r="C50" s="11"/>
      <c r="D50" s="12"/>
      <c r="E50" s="7" t="s">
        <v>177</v>
      </c>
      <c r="F50" t="s">
        <v>190</v>
      </c>
    </row>
    <row r="51" spans="1:6" ht="17" thickBot="1">
      <c r="A51" s="7" t="s">
        <v>178</v>
      </c>
      <c r="B51" s="13" t="s">
        <v>259</v>
      </c>
      <c r="D51" s="14"/>
      <c r="E51" s="23" t="s">
        <v>209</v>
      </c>
      <c r="F51" t="s">
        <v>190</v>
      </c>
    </row>
    <row r="52" spans="1:6" ht="14.5" thickBot="1">
      <c r="A52" s="7" t="s">
        <v>178</v>
      </c>
      <c r="B52" s="13" t="s">
        <v>240</v>
      </c>
      <c r="D52" s="14"/>
      <c r="E52" s="8" t="s">
        <v>177</v>
      </c>
      <c r="F52" t="s">
        <v>190</v>
      </c>
    </row>
    <row r="53" spans="1:6" ht="14.5" thickBot="1">
      <c r="A53" s="7" t="s">
        <v>178</v>
      </c>
      <c r="B53" s="13" t="s">
        <v>260</v>
      </c>
      <c r="D53" s="14"/>
      <c r="E53" s="8" t="s">
        <v>177</v>
      </c>
      <c r="F53" t="s">
        <v>190</v>
      </c>
    </row>
    <row r="54" spans="1:6" ht="14.5" thickBot="1">
      <c r="A54" s="7" t="s">
        <v>178</v>
      </c>
      <c r="B54" s="13" t="s">
        <v>261</v>
      </c>
      <c r="D54" s="14"/>
      <c r="E54" s="8" t="s">
        <v>177</v>
      </c>
      <c r="F54" t="s">
        <v>190</v>
      </c>
    </row>
    <row r="55" spans="1:6" ht="14.5" thickBot="1">
      <c r="A55" s="7" t="s">
        <v>178</v>
      </c>
      <c r="B55" s="13" t="s">
        <v>262</v>
      </c>
      <c r="D55" s="14"/>
      <c r="E55" s="8" t="s">
        <v>177</v>
      </c>
      <c r="F55" t="s">
        <v>190</v>
      </c>
    </row>
    <row r="56" spans="1:6" ht="14.5" thickBot="1">
      <c r="A56" s="7" t="s">
        <v>178</v>
      </c>
      <c r="B56" s="13" t="s">
        <v>263</v>
      </c>
      <c r="D56" s="14"/>
      <c r="E56" s="8" t="s">
        <v>177</v>
      </c>
      <c r="F56" t="s">
        <v>190</v>
      </c>
    </row>
    <row r="57" spans="1:6" ht="14.5" thickBot="1">
      <c r="A57" s="7" t="s">
        <v>178</v>
      </c>
      <c r="B57" s="15" t="s">
        <v>264</v>
      </c>
      <c r="C57" s="16"/>
      <c r="D57" s="17"/>
      <c r="E57" s="9" t="s">
        <v>177</v>
      </c>
      <c r="F57" t="s">
        <v>190</v>
      </c>
    </row>
    <row r="58" spans="1:6" ht="14.5" thickBot="1">
      <c r="A58" s="7" t="s">
        <v>181</v>
      </c>
      <c r="B58" s="10" t="s">
        <v>170</v>
      </c>
      <c r="C58" s="11"/>
      <c r="D58" s="12"/>
      <c r="E58" s="7" t="s">
        <v>180</v>
      </c>
      <c r="F58" t="s">
        <v>191</v>
      </c>
    </row>
    <row r="59" spans="1:6" ht="17" thickBot="1">
      <c r="A59" s="7" t="s">
        <v>181</v>
      </c>
      <c r="B59" s="13" t="s">
        <v>265</v>
      </c>
      <c r="D59" s="14"/>
      <c r="E59" s="23" t="s">
        <v>210</v>
      </c>
      <c r="F59" t="s">
        <v>191</v>
      </c>
    </row>
    <row r="60" spans="1:6" ht="14.5" thickBot="1">
      <c r="A60" s="7" t="s">
        <v>181</v>
      </c>
      <c r="B60" s="13" t="s">
        <v>266</v>
      </c>
      <c r="D60" s="14"/>
      <c r="E60" s="8" t="s">
        <v>180</v>
      </c>
      <c r="F60" t="s">
        <v>191</v>
      </c>
    </row>
    <row r="61" spans="1:6" ht="14.5" thickBot="1">
      <c r="A61" s="7" t="s">
        <v>181</v>
      </c>
      <c r="B61" s="13" t="s">
        <v>241</v>
      </c>
      <c r="D61" s="14"/>
      <c r="E61" s="8" t="s">
        <v>180</v>
      </c>
      <c r="F61" t="s">
        <v>191</v>
      </c>
    </row>
    <row r="62" spans="1:6" ht="14.5" thickBot="1">
      <c r="A62" s="7" t="s">
        <v>181</v>
      </c>
      <c r="B62" s="13" t="s">
        <v>267</v>
      </c>
      <c r="D62" s="14"/>
      <c r="E62" s="8" t="s">
        <v>180</v>
      </c>
      <c r="F62" t="s">
        <v>191</v>
      </c>
    </row>
    <row r="63" spans="1:6" ht="14.5" thickBot="1">
      <c r="A63" s="7" t="s">
        <v>181</v>
      </c>
      <c r="B63" s="13" t="s">
        <v>268</v>
      </c>
      <c r="D63" s="14"/>
      <c r="E63" s="8" t="s">
        <v>180</v>
      </c>
      <c r="F63" t="s">
        <v>191</v>
      </c>
    </row>
    <row r="64" spans="1:6" ht="14.5" thickBot="1">
      <c r="A64" s="7" t="s">
        <v>181</v>
      </c>
      <c r="B64" s="13" t="s">
        <v>269</v>
      </c>
      <c r="D64" s="14"/>
      <c r="E64" s="8" t="s">
        <v>180</v>
      </c>
      <c r="F64" t="s">
        <v>191</v>
      </c>
    </row>
    <row r="65" spans="1:15" ht="14.5" thickBot="1">
      <c r="A65" s="19" t="s">
        <v>181</v>
      </c>
      <c r="B65" s="15" t="s">
        <v>270</v>
      </c>
      <c r="C65" s="16"/>
      <c r="D65" s="17"/>
      <c r="E65" s="9" t="s">
        <v>180</v>
      </c>
      <c r="F65" t="s">
        <v>191</v>
      </c>
    </row>
    <row r="66" spans="1:15" ht="14.5" thickBot="1">
      <c r="A66" s="7" t="s">
        <v>183</v>
      </c>
      <c r="B66" s="10" t="s">
        <v>184</v>
      </c>
      <c r="C66" s="11"/>
      <c r="D66" s="12"/>
      <c r="E66" s="7" t="s">
        <v>182</v>
      </c>
      <c r="F66" t="s">
        <v>192</v>
      </c>
    </row>
    <row r="67" spans="1:15" ht="14.5" thickBot="1">
      <c r="A67" s="7" t="s">
        <v>183</v>
      </c>
      <c r="B67" s="13" t="s">
        <v>271</v>
      </c>
      <c r="D67" s="14"/>
      <c r="E67" s="8" t="s">
        <v>182</v>
      </c>
      <c r="F67" t="s">
        <v>192</v>
      </c>
    </row>
    <row r="68" spans="1:15" ht="14.5" thickBot="1">
      <c r="A68" s="7" t="s">
        <v>183</v>
      </c>
      <c r="B68" s="13" t="s">
        <v>272</v>
      </c>
      <c r="D68" s="14"/>
      <c r="E68" s="8" t="s">
        <v>182</v>
      </c>
      <c r="F68" t="s">
        <v>192</v>
      </c>
    </row>
    <row r="69" spans="1:15" ht="17" thickBot="1">
      <c r="A69" s="7" t="s">
        <v>183</v>
      </c>
      <c r="B69" s="13" t="s">
        <v>273</v>
      </c>
      <c r="D69" s="14"/>
      <c r="E69" s="23" t="s">
        <v>211</v>
      </c>
      <c r="F69" t="s">
        <v>192</v>
      </c>
    </row>
    <row r="70" spans="1:15" ht="14.5" thickBot="1">
      <c r="A70" s="7" t="s">
        <v>183</v>
      </c>
      <c r="B70" s="13" t="s">
        <v>274</v>
      </c>
      <c r="D70" s="14"/>
      <c r="E70" s="8" t="s">
        <v>182</v>
      </c>
      <c r="F70" t="s">
        <v>192</v>
      </c>
    </row>
    <row r="71" spans="1:15" ht="14.5" thickBot="1">
      <c r="A71" s="7" t="s">
        <v>183</v>
      </c>
      <c r="B71" s="13" t="s">
        <v>275</v>
      </c>
      <c r="D71" s="14"/>
      <c r="E71" s="8" t="s">
        <v>182</v>
      </c>
      <c r="F71" t="s">
        <v>192</v>
      </c>
    </row>
    <row r="72" spans="1:15" ht="14.5" thickBot="1">
      <c r="A72" s="7" t="s">
        <v>183</v>
      </c>
      <c r="B72" s="13" t="s">
        <v>276</v>
      </c>
      <c r="D72" s="14"/>
      <c r="E72" s="8" t="s">
        <v>182</v>
      </c>
      <c r="F72" t="s">
        <v>192</v>
      </c>
    </row>
    <row r="73" spans="1:15" ht="14.5" thickBot="1">
      <c r="A73" s="19" t="s">
        <v>183</v>
      </c>
      <c r="B73" s="15" t="s">
        <v>277</v>
      </c>
      <c r="C73" s="16"/>
      <c r="D73" s="17"/>
      <c r="E73" s="9" t="s">
        <v>182</v>
      </c>
      <c r="F73" t="s">
        <v>192</v>
      </c>
    </row>
    <row r="76" spans="1:15">
      <c r="A76" s="4" t="s">
        <v>534</v>
      </c>
    </row>
    <row r="77" spans="1:15" ht="16.5">
      <c r="A77" s="4" t="s">
        <v>513</v>
      </c>
      <c r="C77" t="s">
        <v>510</v>
      </c>
      <c r="D77" t="s">
        <v>200</v>
      </c>
      <c r="E77" t="s">
        <v>197</v>
      </c>
    </row>
    <row r="78" spans="1:15" ht="16.5">
      <c r="A78" s="4" t="s">
        <v>803</v>
      </c>
      <c r="C78" t="s">
        <v>604</v>
      </c>
      <c r="D78" t="s">
        <v>195</v>
      </c>
      <c r="E78" t="s">
        <v>198</v>
      </c>
    </row>
    <row r="79" spans="1:15" ht="16.5">
      <c r="A79" s="4" t="s">
        <v>582</v>
      </c>
      <c r="C79" t="s">
        <v>583</v>
      </c>
      <c r="D79" t="s">
        <v>196</v>
      </c>
      <c r="E79" t="s">
        <v>199</v>
      </c>
      <c r="O79" s="38" t="s">
        <v>193</v>
      </c>
    </row>
    <row r="80" spans="1:15" ht="16.5">
      <c r="A80" s="4" t="s">
        <v>532</v>
      </c>
      <c r="C80" t="s">
        <v>533</v>
      </c>
      <c r="D80" t="s">
        <v>197</v>
      </c>
      <c r="E80" t="s">
        <v>200</v>
      </c>
      <c r="O80" s="38" t="s">
        <v>194</v>
      </c>
    </row>
    <row r="81" spans="1:5" ht="16.5">
      <c r="A81" s="4" t="s">
        <v>556</v>
      </c>
      <c r="C81" t="s">
        <v>557</v>
      </c>
      <c r="D81" t="s">
        <v>198</v>
      </c>
      <c r="E81" t="s">
        <v>195</v>
      </c>
    </row>
    <row r="82" spans="1:5" ht="16.5">
      <c r="A82" s="4" t="s">
        <v>562</v>
      </c>
      <c r="C82" t="s">
        <v>563</v>
      </c>
      <c r="D82" t="s">
        <v>199</v>
      </c>
      <c r="E82" t="s">
        <v>196</v>
      </c>
    </row>
    <row r="83" spans="1:5" ht="16.5">
      <c r="A83" s="4" t="s">
        <v>586</v>
      </c>
      <c r="C83" t="s">
        <v>587</v>
      </c>
      <c r="D83" t="s">
        <v>198</v>
      </c>
      <c r="E83" t="s">
        <v>195</v>
      </c>
    </row>
    <row r="84" spans="1:5" ht="16.5">
      <c r="A84" s="4" t="s">
        <v>544</v>
      </c>
      <c r="C84" t="s">
        <v>545</v>
      </c>
      <c r="D84" t="s">
        <v>197</v>
      </c>
      <c r="E84" t="s">
        <v>200</v>
      </c>
    </row>
    <row r="86" spans="1:5">
      <c r="A86" s="4" t="s">
        <v>535</v>
      </c>
    </row>
    <row r="87" spans="1:5" ht="16.5">
      <c r="A87" s="4" t="s">
        <v>631</v>
      </c>
      <c r="C87" t="s">
        <v>632</v>
      </c>
      <c r="D87" t="s">
        <v>200</v>
      </c>
      <c r="E87" t="s">
        <v>197</v>
      </c>
    </row>
    <row r="88" spans="1:5" ht="16.5">
      <c r="A88" s="4" t="s">
        <v>609</v>
      </c>
      <c r="C88" t="s">
        <v>610</v>
      </c>
      <c r="D88" t="s">
        <v>195</v>
      </c>
      <c r="E88" t="s">
        <v>198</v>
      </c>
    </row>
    <row r="89" spans="1:5" ht="16.5">
      <c r="A89" s="4" t="s">
        <v>605</v>
      </c>
      <c r="C89" t="s">
        <v>606</v>
      </c>
      <c r="D89" t="s">
        <v>196</v>
      </c>
      <c r="E89" t="s">
        <v>199</v>
      </c>
    </row>
    <row r="90" spans="1:5" ht="16.5">
      <c r="A90" s="4" t="s">
        <v>594</v>
      </c>
      <c r="C90" t="s">
        <v>595</v>
      </c>
      <c r="D90" t="s">
        <v>197</v>
      </c>
      <c r="E90" t="s">
        <v>200</v>
      </c>
    </row>
    <row r="91" spans="1:5" ht="16.5">
      <c r="A91" s="4" t="s">
        <v>546</v>
      </c>
      <c r="C91" t="s">
        <v>547</v>
      </c>
      <c r="D91" t="s">
        <v>198</v>
      </c>
      <c r="E91" t="s">
        <v>195</v>
      </c>
    </row>
    <row r="92" spans="1:5" ht="16.5">
      <c r="A92" s="4" t="s">
        <v>639</v>
      </c>
      <c r="C92" t="s">
        <v>640</v>
      </c>
      <c r="D92" t="s">
        <v>199</v>
      </c>
      <c r="E92" t="s">
        <v>196</v>
      </c>
    </row>
    <row r="93" spans="1:5" ht="16.5">
      <c r="A93" s="4" t="s">
        <v>623</v>
      </c>
      <c r="C93" t="s">
        <v>624</v>
      </c>
      <c r="D93" t="s">
        <v>198</v>
      </c>
      <c r="E93" t="s">
        <v>195</v>
      </c>
    </row>
    <row r="94" spans="1:5" ht="16.5">
      <c r="A94" s="4" t="s">
        <v>578</v>
      </c>
      <c r="C94" t="s">
        <v>579</v>
      </c>
      <c r="D94" t="s">
        <v>197</v>
      </c>
      <c r="E94" t="s">
        <v>200</v>
      </c>
    </row>
    <row r="96" spans="1:5">
      <c r="A96" s="4" t="s">
        <v>536</v>
      </c>
    </row>
    <row r="97" spans="1:5" ht="16.5">
      <c r="A97" s="4" t="s">
        <v>576</v>
      </c>
      <c r="C97" t="s">
        <v>577</v>
      </c>
      <c r="D97" t="s">
        <v>200</v>
      </c>
      <c r="E97" t="s">
        <v>197</v>
      </c>
    </row>
    <row r="98" spans="1:5" ht="16.5">
      <c r="A98" s="4" t="s">
        <v>627</v>
      </c>
      <c r="C98" t="s">
        <v>628</v>
      </c>
      <c r="D98" t="s">
        <v>195</v>
      </c>
      <c r="E98" t="s">
        <v>198</v>
      </c>
    </row>
    <row r="99" spans="1:5" ht="16.5">
      <c r="A99" s="4" t="s">
        <v>615</v>
      </c>
      <c r="C99" t="s">
        <v>616</v>
      </c>
      <c r="D99" t="s">
        <v>196</v>
      </c>
      <c r="E99" t="s">
        <v>199</v>
      </c>
    </row>
    <row r="100" spans="1:5" ht="16.5">
      <c r="A100" s="4" t="s">
        <v>643</v>
      </c>
      <c r="C100" t="s">
        <v>644</v>
      </c>
      <c r="D100" t="s">
        <v>197</v>
      </c>
      <c r="E100" t="s">
        <v>200</v>
      </c>
    </row>
    <row r="101" spans="1:5" ht="16.5">
      <c r="A101" s="4" t="s">
        <v>516</v>
      </c>
      <c r="C101" t="s">
        <v>517</v>
      </c>
      <c r="D101" t="s">
        <v>198</v>
      </c>
      <c r="E101" t="s">
        <v>195</v>
      </c>
    </row>
    <row r="102" spans="1:5" ht="16.5">
      <c r="A102" s="4" t="s">
        <v>633</v>
      </c>
      <c r="C102" t="s">
        <v>634</v>
      </c>
      <c r="D102" t="s">
        <v>199</v>
      </c>
      <c r="E102" t="s">
        <v>196</v>
      </c>
    </row>
    <row r="103" spans="1:5" ht="16.5">
      <c r="A103" s="4" t="s">
        <v>520</v>
      </c>
      <c r="C103" t="s">
        <v>521</v>
      </c>
      <c r="D103" t="s">
        <v>198</v>
      </c>
      <c r="E103" t="s">
        <v>195</v>
      </c>
    </row>
    <row r="104" spans="1:5" ht="16.5">
      <c r="A104" s="4" t="s">
        <v>537</v>
      </c>
      <c r="C104" t="s">
        <v>539</v>
      </c>
      <c r="D104" t="s">
        <v>197</v>
      </c>
      <c r="E104" t="s">
        <v>200</v>
      </c>
    </row>
    <row r="105" spans="1:5">
      <c r="A105" s="4"/>
    </row>
    <row r="106" spans="1:5">
      <c r="A106" s="4" t="s">
        <v>538</v>
      </c>
    </row>
    <row r="107" spans="1:5" ht="16.5">
      <c r="A107" s="4" t="s">
        <v>617</v>
      </c>
      <c r="C107" t="s">
        <v>618</v>
      </c>
      <c r="D107" t="s">
        <v>200</v>
      </c>
      <c r="E107" t="s">
        <v>197</v>
      </c>
    </row>
    <row r="108" spans="1:5" ht="16.5">
      <c r="A108" s="4" t="s">
        <v>548</v>
      </c>
      <c r="C108" t="s">
        <v>549</v>
      </c>
      <c r="D108" t="s">
        <v>195</v>
      </c>
      <c r="E108" t="s">
        <v>198</v>
      </c>
    </row>
    <row r="109" spans="1:5" ht="16.5">
      <c r="A109" s="4" t="s">
        <v>596</v>
      </c>
      <c r="C109" t="s">
        <v>597</v>
      </c>
      <c r="D109" t="s">
        <v>196</v>
      </c>
      <c r="E109" t="s">
        <v>199</v>
      </c>
    </row>
    <row r="110" spans="1:5" ht="16.5">
      <c r="A110" s="4" t="s">
        <v>580</v>
      </c>
      <c r="C110" t="s">
        <v>581</v>
      </c>
      <c r="D110" t="s">
        <v>197</v>
      </c>
      <c r="E110" t="s">
        <v>200</v>
      </c>
    </row>
    <row r="111" spans="1:5" ht="16.5">
      <c r="A111" s="4" t="s">
        <v>607</v>
      </c>
      <c r="C111" t="s">
        <v>608</v>
      </c>
      <c r="D111" t="s">
        <v>198</v>
      </c>
      <c r="E111" t="s">
        <v>195</v>
      </c>
    </row>
    <row r="112" spans="1:5" ht="16.5">
      <c r="A112" s="4" t="s">
        <v>611</v>
      </c>
      <c r="C112" t="s">
        <v>612</v>
      </c>
      <c r="D112" t="s">
        <v>199</v>
      </c>
      <c r="E112" t="s">
        <v>196</v>
      </c>
    </row>
    <row r="113" spans="1:5" ht="16.5">
      <c r="A113" s="4" t="s">
        <v>572</v>
      </c>
      <c r="C113" t="s">
        <v>573</v>
      </c>
      <c r="D113" t="s">
        <v>198</v>
      </c>
      <c r="E113" t="s">
        <v>195</v>
      </c>
    </row>
    <row r="114" spans="1:5" ht="16.5">
      <c r="A114" s="4" t="s">
        <v>550</v>
      </c>
      <c r="C114" t="s">
        <v>551</v>
      </c>
      <c r="D114" t="s">
        <v>197</v>
      </c>
      <c r="E114" t="s">
        <v>200</v>
      </c>
    </row>
    <row r="115" spans="1:5">
      <c r="A115" s="4"/>
    </row>
    <row r="116" spans="1:5">
      <c r="A116" s="4" t="s">
        <v>540</v>
      </c>
    </row>
    <row r="117" spans="1:5" ht="16.5">
      <c r="A117" s="4" t="s">
        <v>629</v>
      </c>
      <c r="C117" t="s">
        <v>630</v>
      </c>
      <c r="D117" t="s">
        <v>200</v>
      </c>
      <c r="E117" t="s">
        <v>197</v>
      </c>
    </row>
    <row r="118" spans="1:5" ht="16.5">
      <c r="A118" s="4" t="s">
        <v>526</v>
      </c>
      <c r="C118" t="s">
        <v>527</v>
      </c>
      <c r="D118" t="s">
        <v>195</v>
      </c>
      <c r="E118" t="s">
        <v>198</v>
      </c>
    </row>
    <row r="119" spans="1:5" ht="16.5">
      <c r="A119" s="4" t="s">
        <v>590</v>
      </c>
      <c r="C119" t="s">
        <v>591</v>
      </c>
      <c r="D119" t="s">
        <v>196</v>
      </c>
      <c r="E119" t="s">
        <v>199</v>
      </c>
    </row>
    <row r="120" spans="1:5" ht="16.5">
      <c r="A120" s="4" t="s">
        <v>600</v>
      </c>
      <c r="C120" t="s">
        <v>601</v>
      </c>
      <c r="D120" t="s">
        <v>197</v>
      </c>
      <c r="E120" t="s">
        <v>200</v>
      </c>
    </row>
    <row r="121" spans="1:5" ht="16.5">
      <c r="A121" s="4" t="s">
        <v>566</v>
      </c>
      <c r="C121" t="s">
        <v>567</v>
      </c>
      <c r="D121" t="s">
        <v>198</v>
      </c>
      <c r="E121" t="s">
        <v>195</v>
      </c>
    </row>
    <row r="122" spans="1:5" ht="16.5">
      <c r="A122" s="4" t="s">
        <v>558</v>
      </c>
      <c r="C122" t="s">
        <v>559</v>
      </c>
      <c r="D122" t="s">
        <v>199</v>
      </c>
      <c r="E122" t="s">
        <v>196</v>
      </c>
    </row>
    <row r="123" spans="1:5" ht="16.5">
      <c r="A123" s="4" t="s">
        <v>570</v>
      </c>
      <c r="C123" t="s">
        <v>571</v>
      </c>
      <c r="D123" t="s">
        <v>198</v>
      </c>
      <c r="E123" t="s">
        <v>195</v>
      </c>
    </row>
    <row r="124" spans="1:5" ht="16.5">
      <c r="A124" s="4" t="s">
        <v>552</v>
      </c>
      <c r="C124" t="s">
        <v>553</v>
      </c>
      <c r="D124" t="s">
        <v>197</v>
      </c>
      <c r="E124" t="s">
        <v>200</v>
      </c>
    </row>
    <row r="125" spans="1:5">
      <c r="A125" s="4"/>
    </row>
    <row r="126" spans="1:5">
      <c r="A126" s="4" t="s">
        <v>541</v>
      </c>
    </row>
    <row r="127" spans="1:5" ht="16.5">
      <c r="A127" s="4" t="s">
        <v>574</v>
      </c>
      <c r="C127" t="s">
        <v>575</v>
      </c>
      <c r="D127" t="s">
        <v>200</v>
      </c>
      <c r="E127" t="s">
        <v>197</v>
      </c>
    </row>
    <row r="128" spans="1:5" ht="16.5">
      <c r="A128" s="4" t="s">
        <v>635</v>
      </c>
      <c r="C128" t="s">
        <v>636</v>
      </c>
      <c r="D128" t="s">
        <v>195</v>
      </c>
      <c r="E128" t="s">
        <v>198</v>
      </c>
    </row>
    <row r="129" spans="1:5" ht="16.5">
      <c r="A129" s="4" t="s">
        <v>515</v>
      </c>
      <c r="C129" t="s">
        <v>512</v>
      </c>
      <c r="D129" t="s">
        <v>196</v>
      </c>
      <c r="E129" t="s">
        <v>199</v>
      </c>
    </row>
    <row r="130" spans="1:5" ht="16.5">
      <c r="A130" s="4" t="s">
        <v>641</v>
      </c>
      <c r="C130" t="s">
        <v>642</v>
      </c>
      <c r="D130" t="s">
        <v>197</v>
      </c>
      <c r="E130" t="s">
        <v>200</v>
      </c>
    </row>
    <row r="131" spans="1:5" ht="16.5">
      <c r="A131" s="4" t="s">
        <v>613</v>
      </c>
      <c r="C131" t="s">
        <v>614</v>
      </c>
      <c r="D131" t="s">
        <v>198</v>
      </c>
      <c r="E131" t="s">
        <v>195</v>
      </c>
    </row>
    <row r="132" spans="1:5" ht="16.5">
      <c r="A132" s="4" t="s">
        <v>625</v>
      </c>
      <c r="C132" t="s">
        <v>626</v>
      </c>
      <c r="D132" t="s">
        <v>199</v>
      </c>
      <c r="E132" t="s">
        <v>196</v>
      </c>
    </row>
    <row r="133" spans="1:5" ht="16.5">
      <c r="A133" s="4" t="s">
        <v>588</v>
      </c>
      <c r="C133" t="s">
        <v>589</v>
      </c>
      <c r="D133" t="s">
        <v>198</v>
      </c>
      <c r="E133" t="s">
        <v>195</v>
      </c>
    </row>
    <row r="134" spans="1:5" ht="16.5">
      <c r="A134" s="4" t="s">
        <v>522</v>
      </c>
      <c r="C134" t="s">
        <v>523</v>
      </c>
      <c r="D134" t="s">
        <v>197</v>
      </c>
      <c r="E134" t="s">
        <v>200</v>
      </c>
    </row>
    <row r="135" spans="1:5">
      <c r="A135" s="4"/>
    </row>
    <row r="136" spans="1:5">
      <c r="A136" s="4" t="s">
        <v>543</v>
      </c>
    </row>
    <row r="137" spans="1:5" ht="16.5">
      <c r="A137" s="4" t="s">
        <v>619</v>
      </c>
      <c r="C137" t="s">
        <v>620</v>
      </c>
      <c r="D137" t="s">
        <v>200</v>
      </c>
      <c r="E137" t="s">
        <v>197</v>
      </c>
    </row>
    <row r="138" spans="1:5" ht="16.5">
      <c r="A138" s="4" t="s">
        <v>560</v>
      </c>
      <c r="C138" t="s">
        <v>561</v>
      </c>
      <c r="D138" t="s">
        <v>195</v>
      </c>
      <c r="E138" t="s">
        <v>198</v>
      </c>
    </row>
    <row r="139" spans="1:5" ht="16.5">
      <c r="A139" s="4" t="s">
        <v>598</v>
      </c>
      <c r="C139" t="s">
        <v>599</v>
      </c>
      <c r="D139" t="s">
        <v>196</v>
      </c>
      <c r="E139" t="s">
        <v>199</v>
      </c>
    </row>
    <row r="140" spans="1:5" ht="16.5">
      <c r="A140" s="4" t="s">
        <v>592</v>
      </c>
      <c r="C140" t="s">
        <v>593</v>
      </c>
      <c r="D140" t="s">
        <v>197</v>
      </c>
      <c r="E140" t="s">
        <v>200</v>
      </c>
    </row>
    <row r="141" spans="1:5" ht="16.5">
      <c r="A141" s="4" t="s">
        <v>528</v>
      </c>
      <c r="C141" t="s">
        <v>529</v>
      </c>
      <c r="D141" t="s">
        <v>198</v>
      </c>
      <c r="E141" t="s">
        <v>195</v>
      </c>
    </row>
    <row r="142" spans="1:5" ht="16.5">
      <c r="A142" s="4" t="s">
        <v>637</v>
      </c>
      <c r="C142" t="s">
        <v>638</v>
      </c>
      <c r="D142" t="s">
        <v>199</v>
      </c>
      <c r="E142" t="s">
        <v>196</v>
      </c>
    </row>
    <row r="143" spans="1:5" ht="16.5">
      <c r="A143" t="s">
        <v>621</v>
      </c>
      <c r="C143" t="s">
        <v>622</v>
      </c>
      <c r="D143" t="s">
        <v>198</v>
      </c>
      <c r="E143" t="s">
        <v>195</v>
      </c>
    </row>
    <row r="144" spans="1:5" ht="16.5">
      <c r="A144" t="s">
        <v>568</v>
      </c>
      <c r="C144" t="s">
        <v>569</v>
      </c>
      <c r="D144" t="s">
        <v>197</v>
      </c>
      <c r="E144" t="s">
        <v>200</v>
      </c>
    </row>
    <row r="146" spans="1:5">
      <c r="A146" s="4" t="s">
        <v>542</v>
      </c>
    </row>
    <row r="147" spans="1:5" ht="16.5">
      <c r="A147" s="4" t="s">
        <v>514</v>
      </c>
      <c r="C147" t="s">
        <v>511</v>
      </c>
      <c r="D147" t="s">
        <v>200</v>
      </c>
      <c r="E147" t="s">
        <v>197</v>
      </c>
    </row>
    <row r="148" spans="1:5" ht="16.5">
      <c r="A148" s="4" t="s">
        <v>564</v>
      </c>
      <c r="C148" t="s">
        <v>565</v>
      </c>
      <c r="D148" t="s">
        <v>195</v>
      </c>
      <c r="E148" t="s">
        <v>198</v>
      </c>
    </row>
    <row r="149" spans="1:5" ht="16.5">
      <c r="A149" s="4" t="s">
        <v>554</v>
      </c>
      <c r="C149" t="s">
        <v>555</v>
      </c>
      <c r="D149" t="s">
        <v>196</v>
      </c>
      <c r="E149" t="s">
        <v>199</v>
      </c>
    </row>
    <row r="150" spans="1:5" ht="16.5">
      <c r="A150" s="4" t="s">
        <v>530</v>
      </c>
      <c r="C150" t="s">
        <v>531</v>
      </c>
      <c r="D150" t="s">
        <v>197</v>
      </c>
      <c r="E150" t="s">
        <v>200</v>
      </c>
    </row>
    <row r="151" spans="1:5" ht="16.5">
      <c r="A151" s="4" t="s">
        <v>584</v>
      </c>
      <c r="C151" t="s">
        <v>585</v>
      </c>
      <c r="D151" t="s">
        <v>198</v>
      </c>
      <c r="E151" t="s">
        <v>195</v>
      </c>
    </row>
    <row r="152" spans="1:5" ht="16.5">
      <c r="A152" s="4" t="s">
        <v>602</v>
      </c>
      <c r="C152" t="s">
        <v>603</v>
      </c>
      <c r="D152" t="s">
        <v>199</v>
      </c>
      <c r="E152" t="s">
        <v>196</v>
      </c>
    </row>
    <row r="153" spans="1:5" ht="16.5">
      <c r="A153" s="4" t="s">
        <v>518</v>
      </c>
      <c r="C153" t="s">
        <v>519</v>
      </c>
      <c r="D153" t="s">
        <v>198</v>
      </c>
      <c r="E153" t="s">
        <v>195</v>
      </c>
    </row>
    <row r="154" spans="1:5" ht="16.5">
      <c r="A154" s="4" t="s">
        <v>524</v>
      </c>
      <c r="C154" t="s">
        <v>525</v>
      </c>
      <c r="D154" t="s">
        <v>197</v>
      </c>
      <c r="E154" t="s">
        <v>200</v>
      </c>
    </row>
    <row r="158" spans="1:5">
      <c r="A158" t="str">
        <f>L2&amp;""&amp;IFERROR(MID(IF(ISNUMBER(SEARCH("*",P2)),LEFT(P2,LEN(P2)-1),P2),SEARCH("：",P2)+1,99),IF(ISNUMBER(SEARCH("*",P2)),LEFT(P2,LEN(P2)-1),P2))&amp;"，"&amp;P19&amp;"，"&amp;P17&amp;"，"&amp;P18&amp;"，"&amp;L5&amp;""&amp;IFERROR(MID(IF(ISNUMBER(SEARCH("*",P5)),LEFT(P5,LEN(P5)-1),P5),SEARCH("：",P5)+1,99),IF(ISNUMBER(SEARCH("*",P5)),LEFT(P5,LEN(P5)-1),P5))&amp;"，"&amp;L8&amp;""&amp;IFERROR(MID(IF(ISNUMBER(SEARCH("*",P8)),LEFT(P8,LEN(P8)-1),P8),SEARCH("：",P8)+1,99),IF(ISNUMBER(SEARCH("*",P8)),LEFT(P8,LEN(P8)-1),P8))&amp;"，"&amp;L11&amp;""&amp;IFERROR(MID(IF(ISNUMBER(SEARCH("*",P11)),LEFT(P11,LEN(P11)-1),P11),SEARCH("：",P11)+1,99),IF(ISNUMBER(SEARCH("*",P11)),LEFT(P11,LEN(P11)-1),P11))&amp;"，"&amp;L14&amp;""&amp;IFERROR(MID(IF(ISNUMBER(SEARCH("*",P14)),LEFT(P14,LEN(P14)-1),P14),SEARCH("：",P14)+1,99),IF(ISNUMBER(SEARCH("*",P14)),LEFT(P14,LEN(P14)-1),P14))&amp;"；"</f>
        <v>本卦泽雷随，动爻初、三、五、上，世爻三，应爻上，变卦火山旅，互卦风山渐，错卦山风蛊，综卦山风蛊；</v>
      </c>
    </row>
  </sheetData>
  <mergeCells count="12">
    <mergeCell ref="H13:J15"/>
    <mergeCell ref="L21:Q21"/>
    <mergeCell ref="P2:P3"/>
    <mergeCell ref="P5:P6"/>
    <mergeCell ref="P8:P9"/>
    <mergeCell ref="P11:P12"/>
    <mergeCell ref="P14:P15"/>
    <mergeCell ref="L2:L3"/>
    <mergeCell ref="L5:L6"/>
    <mergeCell ref="L8:L9"/>
    <mergeCell ref="L11:L12"/>
    <mergeCell ref="L14:L15"/>
  </mergeCells>
  <phoneticPr fontId="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00" r:id="rId3" name="Button 4">
              <controlPr defaultSize="0" print="0" autoFill="0" autoPict="0" macro="[0]!爻卦开始">
                <anchor moveWithCells="1" sizeWithCells="1">
                  <from>
                    <xdr:col>7</xdr:col>
                    <xdr:colOff>438150</xdr:colOff>
                    <xdr:row>7</xdr:row>
                    <xdr:rowOff>107950</xdr:rowOff>
                  </from>
                  <to>
                    <xdr:col>9</xdr:col>
                    <xdr:colOff>177800</xdr:colOff>
                    <xdr:row>8</xdr:row>
                    <xdr:rowOff>152400</xdr:rowOff>
                  </to>
                </anchor>
              </controlPr>
            </control>
          </mc:Choice>
        </mc:AlternateContent>
        <mc:AlternateContent xmlns:mc="http://schemas.openxmlformats.org/markup-compatibility/2006">
          <mc:Choice Requires="x14">
            <control shapeId="4101" r:id="rId4" name="Button 5">
              <controlPr defaultSize="0" print="0" autoFill="0" autoPict="0" macro="[0]!爻卦停止">
                <anchor moveWithCells="1" sizeWithCells="1">
                  <from>
                    <xdr:col>7</xdr:col>
                    <xdr:colOff>425450</xdr:colOff>
                    <xdr:row>9</xdr:row>
                    <xdr:rowOff>95250</xdr:rowOff>
                  </from>
                  <to>
                    <xdr:col>9</xdr:col>
                    <xdr:colOff>196850</xdr:colOff>
                    <xdr:row>10</xdr:row>
                    <xdr:rowOff>127000</xdr:rowOff>
                  </to>
                </anchor>
              </controlPr>
            </control>
          </mc:Choice>
        </mc:AlternateContent>
        <mc:AlternateContent xmlns:mc="http://schemas.openxmlformats.org/markup-compatibility/2006">
          <mc:Choice Requires="x14">
            <control shapeId="4102" r:id="rId5" name="Button 6">
              <controlPr defaultSize="0" print="0" autoFill="0" autoPict="0" macro="[0]!清除爻卦">
                <anchor moveWithCells="1" sizeWithCells="1">
                  <from>
                    <xdr:col>6</xdr:col>
                    <xdr:colOff>57150</xdr:colOff>
                    <xdr:row>8</xdr:row>
                    <xdr:rowOff>82550</xdr:rowOff>
                  </from>
                  <to>
                    <xdr:col>7</xdr:col>
                    <xdr:colOff>260350</xdr:colOff>
                    <xdr:row>9</xdr:row>
                    <xdr:rowOff>107950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8044CD-B99F-43E7-85ED-846E5524E7EC}">
  <sheetPr codeName="Sheet4"/>
  <dimension ref="A1:M39"/>
  <sheetViews>
    <sheetView topLeftCell="D1" workbookViewId="0">
      <selection activeCell="I13" sqref="I13:K13"/>
    </sheetView>
  </sheetViews>
  <sheetFormatPr defaultRowHeight="14"/>
  <cols>
    <col min="1" max="1" width="10.25" hidden="1" customWidth="1"/>
    <col min="2" max="3" width="35.75" hidden="1" customWidth="1"/>
    <col min="6" max="6" width="9.6640625" customWidth="1"/>
    <col min="7" max="7" width="10.25" customWidth="1"/>
    <col min="8" max="9" width="10.4140625" customWidth="1"/>
    <col min="10" max="10" width="9.1640625" customWidth="1"/>
    <col min="11" max="11" width="9.9140625" customWidth="1"/>
    <col min="13" max="13" width="33.33203125" customWidth="1"/>
  </cols>
  <sheetData>
    <row r="1" spans="1:13" ht="14.5" thickBot="1">
      <c r="F1" s="59" t="s">
        <v>285</v>
      </c>
      <c r="G1" s="39" t="s">
        <v>286</v>
      </c>
      <c r="H1" s="41" t="s">
        <v>287</v>
      </c>
    </row>
    <row r="2" spans="1:13" ht="16.5">
      <c r="A2" s="25" t="s">
        <v>304</v>
      </c>
      <c r="B2" t="s">
        <v>425</v>
      </c>
      <c r="C2" t="s">
        <v>1519</v>
      </c>
      <c r="F2" s="59" t="s">
        <v>302</v>
      </c>
      <c r="G2" s="39" t="s">
        <v>1546</v>
      </c>
      <c r="H2" s="41" t="s">
        <v>296</v>
      </c>
    </row>
    <row r="3" spans="1:13" ht="16.5">
      <c r="A3" s="26" t="s">
        <v>303</v>
      </c>
      <c r="B3" t="s">
        <v>426</v>
      </c>
      <c r="C3" t="s">
        <v>1520</v>
      </c>
    </row>
    <row r="4" spans="1:13">
      <c r="A4" s="26" t="s">
        <v>301</v>
      </c>
      <c r="B4" t="s">
        <v>427</v>
      </c>
      <c r="C4" t="s">
        <v>1521</v>
      </c>
      <c r="E4" s="55" t="s">
        <v>508</v>
      </c>
      <c r="F4" s="266" t="str">
        <f>INDEX(B26:B37, MATCH(H2, A26:A37, 0))</f>
        <v>高等教育、远行、哲学、信仰</v>
      </c>
      <c r="G4" s="266"/>
      <c r="H4" s="266"/>
      <c r="I4" s="5" t="s">
        <v>648</v>
      </c>
      <c r="J4" t="s">
        <v>653</v>
      </c>
    </row>
    <row r="5" spans="1:13">
      <c r="A5" s="26" t="s">
        <v>300</v>
      </c>
      <c r="B5" t="s">
        <v>424</v>
      </c>
      <c r="C5" t="s">
        <v>1521</v>
      </c>
      <c r="E5" s="55" t="s">
        <v>509</v>
      </c>
      <c r="F5" s="267" t="str">
        <f>INDEX(B14:B25, MATCH(G2, A14:A25, 0))</f>
        <v>目标、责任、结构、成就、权威</v>
      </c>
      <c r="G5" s="268"/>
      <c r="H5" s="269"/>
      <c r="I5" s="5" t="s">
        <v>649</v>
      </c>
      <c r="J5" t="s">
        <v>652</v>
      </c>
    </row>
    <row r="6" spans="1:13">
      <c r="A6" s="26" t="s">
        <v>302</v>
      </c>
      <c r="B6" t="s">
        <v>428</v>
      </c>
      <c r="C6" t="s">
        <v>1520</v>
      </c>
      <c r="E6" s="55" t="s">
        <v>654</v>
      </c>
      <c r="F6" s="270" t="str">
        <f>INDEX(B2:B13, MATCH(F2, A2:A13, 0))</f>
        <v>行动、欲望、勇气、冲突、性能量</v>
      </c>
      <c r="G6" s="271"/>
      <c r="H6" s="272"/>
      <c r="I6" s="56" t="s">
        <v>650</v>
      </c>
      <c r="J6" t="s">
        <v>651</v>
      </c>
    </row>
    <row r="7" spans="1:13" ht="16.5">
      <c r="A7" s="26" t="s">
        <v>305</v>
      </c>
      <c r="B7" t="s">
        <v>429</v>
      </c>
      <c r="C7" t="s">
        <v>1522</v>
      </c>
    </row>
    <row r="8" spans="1:13" ht="16.5">
      <c r="A8" s="26" t="s">
        <v>306</v>
      </c>
      <c r="B8" t="s">
        <v>430</v>
      </c>
      <c r="C8" t="s">
        <v>1523</v>
      </c>
      <c r="L8" s="59" t="s">
        <v>1541</v>
      </c>
      <c r="M8" s="212" t="str">
        <f>INDEX(C2:C13, MATCH(F2, A2:A13, 0))</f>
        <v>偏快，数天-两周</v>
      </c>
    </row>
    <row r="9" spans="1:13" ht="16.5">
      <c r="A9" s="26" t="s">
        <v>307</v>
      </c>
      <c r="B9" t="s">
        <v>431</v>
      </c>
      <c r="C9" t="s">
        <v>1523</v>
      </c>
      <c r="L9" s="39" t="s">
        <v>1542</v>
      </c>
      <c r="M9" s="211" t="str">
        <f>INDEX(C14:C25, MATCH(G2, A14:A25, 0))</f>
        <v>时间偏短，多按天数/周算【12.22-1.19】</v>
      </c>
    </row>
    <row r="10" spans="1:13" ht="16.5">
      <c r="A10" s="26" t="s">
        <v>308</v>
      </c>
      <c r="B10" t="s">
        <v>432</v>
      </c>
      <c r="C10" t="s">
        <v>1523</v>
      </c>
      <c r="L10" s="41" t="s">
        <v>1543</v>
      </c>
      <c r="M10" s="210" t="str">
        <f>INDEX(C26:C37, MATCH(H2, A26:A37, 0))</f>
        <v>易有变数，时长翻倍（容易一波三折，多留意下一个时间窗口）</v>
      </c>
    </row>
    <row r="11" spans="1:13" ht="16.5">
      <c r="A11" s="26" t="s">
        <v>309</v>
      </c>
      <c r="B11" t="s">
        <v>433</v>
      </c>
      <c r="C11" t="s">
        <v>1523</v>
      </c>
      <c r="H11" s="209"/>
    </row>
    <row r="12" spans="1:13" ht="17" thickBot="1">
      <c r="A12" s="26" t="s">
        <v>310</v>
      </c>
      <c r="B12" t="s">
        <v>434</v>
      </c>
      <c r="C12" t="s">
        <v>1524</v>
      </c>
    </row>
    <row r="13" spans="1:13" ht="17" thickBot="1">
      <c r="A13" s="27" t="s">
        <v>311</v>
      </c>
      <c r="B13" t="s">
        <v>435</v>
      </c>
      <c r="C13" t="s">
        <v>1525</v>
      </c>
      <c r="E13" s="234" t="s">
        <v>1518</v>
      </c>
      <c r="F13" s="235"/>
      <c r="G13" s="236"/>
      <c r="I13" s="224" t="str">
        <f>A39</f>
        <v>火星、魔羯座、第九宫；</v>
      </c>
      <c r="J13" s="225"/>
      <c r="K13" s="226"/>
    </row>
    <row r="14" spans="1:13" ht="16.5">
      <c r="A14" s="28" t="s">
        <v>312</v>
      </c>
      <c r="B14" t="s">
        <v>400</v>
      </c>
      <c r="C14" t="s">
        <v>1526</v>
      </c>
      <c r="E14" s="237"/>
      <c r="F14" s="238"/>
      <c r="G14" s="239"/>
    </row>
    <row r="15" spans="1:13" ht="17" thickBot="1">
      <c r="A15" s="29" t="s">
        <v>313</v>
      </c>
      <c r="B15" t="s">
        <v>403</v>
      </c>
      <c r="C15" t="s">
        <v>1527</v>
      </c>
      <c r="E15" s="240"/>
      <c r="F15" s="241"/>
      <c r="G15" s="242"/>
    </row>
    <row r="16" spans="1:13" ht="16.5">
      <c r="A16" s="29" t="s">
        <v>314</v>
      </c>
      <c r="B16" t="s">
        <v>406</v>
      </c>
      <c r="C16" t="s">
        <v>1528</v>
      </c>
    </row>
    <row r="17" spans="1:11" ht="16.5">
      <c r="A17" s="29" t="s">
        <v>315</v>
      </c>
      <c r="B17" t="s">
        <v>409</v>
      </c>
      <c r="C17" t="s">
        <v>1529</v>
      </c>
      <c r="I17" s="38"/>
      <c r="J17" s="48"/>
      <c r="K17" s="48"/>
    </row>
    <row r="18" spans="1:11" ht="16.5">
      <c r="A18" s="29" t="s">
        <v>316</v>
      </c>
      <c r="B18" t="s">
        <v>401</v>
      </c>
      <c r="C18" t="s">
        <v>1530</v>
      </c>
      <c r="I18" s="38"/>
      <c r="J18" s="48"/>
    </row>
    <row r="19" spans="1:11" ht="16.5">
      <c r="A19" s="29" t="s">
        <v>317</v>
      </c>
      <c r="B19" t="s">
        <v>404</v>
      </c>
      <c r="C19" t="s">
        <v>1531</v>
      </c>
      <c r="I19" s="38"/>
      <c r="J19" s="48"/>
    </row>
    <row r="20" spans="1:11" ht="16.5">
      <c r="A20" s="29" t="s">
        <v>318</v>
      </c>
      <c r="B20" t="s">
        <v>407</v>
      </c>
      <c r="C20" t="s">
        <v>1532</v>
      </c>
    </row>
    <row r="21" spans="1:11" ht="16.5">
      <c r="A21" s="29" t="s">
        <v>319</v>
      </c>
      <c r="B21" t="s">
        <v>410</v>
      </c>
      <c r="C21" t="s">
        <v>1533</v>
      </c>
    </row>
    <row r="22" spans="1:11" ht="16.5">
      <c r="A22" s="29" t="s">
        <v>320</v>
      </c>
      <c r="B22" t="s">
        <v>402</v>
      </c>
      <c r="C22" t="s">
        <v>1534</v>
      </c>
    </row>
    <row r="23" spans="1:11" ht="16.5">
      <c r="A23" s="29" t="s">
        <v>321</v>
      </c>
      <c r="B23" t="s">
        <v>405</v>
      </c>
      <c r="C23" t="s">
        <v>1535</v>
      </c>
    </row>
    <row r="24" spans="1:11" ht="16.5">
      <c r="A24" s="29" t="s">
        <v>322</v>
      </c>
      <c r="B24" t="s">
        <v>408</v>
      </c>
      <c r="C24" t="s">
        <v>1536</v>
      </c>
    </row>
    <row r="25" spans="1:11" ht="17" thickBot="1">
      <c r="A25" s="30" t="s">
        <v>323</v>
      </c>
      <c r="B25" t="s">
        <v>411</v>
      </c>
      <c r="C25" t="s">
        <v>1537</v>
      </c>
    </row>
    <row r="26" spans="1:11">
      <c r="A26" s="31" t="s">
        <v>288</v>
      </c>
      <c r="B26" t="s">
        <v>412</v>
      </c>
      <c r="C26" t="s">
        <v>1538</v>
      </c>
    </row>
    <row r="27" spans="1:11">
      <c r="A27" s="32" t="s">
        <v>289</v>
      </c>
      <c r="B27" t="s">
        <v>413</v>
      </c>
      <c r="C27" t="s">
        <v>1539</v>
      </c>
    </row>
    <row r="28" spans="1:11">
      <c r="A28" s="32" t="s">
        <v>290</v>
      </c>
      <c r="B28" t="s">
        <v>414</v>
      </c>
      <c r="C28" t="s">
        <v>1540</v>
      </c>
    </row>
    <row r="29" spans="1:11">
      <c r="A29" s="32" t="s">
        <v>291</v>
      </c>
      <c r="B29" t="s">
        <v>415</v>
      </c>
      <c r="C29" t="s">
        <v>1538</v>
      </c>
    </row>
    <row r="30" spans="1:11">
      <c r="A30" s="32" t="s">
        <v>292</v>
      </c>
      <c r="B30" t="s">
        <v>416</v>
      </c>
      <c r="C30" t="s">
        <v>1539</v>
      </c>
    </row>
    <row r="31" spans="1:11">
      <c r="A31" s="32" t="s">
        <v>293</v>
      </c>
      <c r="B31" t="s">
        <v>417</v>
      </c>
      <c r="C31" t="s">
        <v>1540</v>
      </c>
    </row>
    <row r="32" spans="1:11">
      <c r="A32" s="32" t="s">
        <v>294</v>
      </c>
      <c r="B32" t="s">
        <v>418</v>
      </c>
      <c r="C32" t="s">
        <v>1538</v>
      </c>
    </row>
    <row r="33" spans="1:3">
      <c r="A33" s="32" t="s">
        <v>295</v>
      </c>
      <c r="B33" t="s">
        <v>419</v>
      </c>
      <c r="C33" t="s">
        <v>1539</v>
      </c>
    </row>
    <row r="34" spans="1:3">
      <c r="A34" s="32" t="s">
        <v>296</v>
      </c>
      <c r="B34" t="s">
        <v>420</v>
      </c>
      <c r="C34" t="s">
        <v>1540</v>
      </c>
    </row>
    <row r="35" spans="1:3">
      <c r="A35" s="32" t="s">
        <v>297</v>
      </c>
      <c r="B35" t="s">
        <v>421</v>
      </c>
      <c r="C35" t="s">
        <v>1538</v>
      </c>
    </row>
    <row r="36" spans="1:3">
      <c r="A36" s="32" t="s">
        <v>298</v>
      </c>
      <c r="B36" t="s">
        <v>422</v>
      </c>
      <c r="C36" t="s">
        <v>1539</v>
      </c>
    </row>
    <row r="37" spans="1:3" ht="14.5" thickBot="1">
      <c r="A37" s="33" t="s">
        <v>299</v>
      </c>
      <c r="B37" t="s">
        <v>423</v>
      </c>
      <c r="C37" t="s">
        <v>1540</v>
      </c>
    </row>
    <row r="39" spans="1:3">
      <c r="A39" t="str" cm="1">
        <f t="array" ref="A39">_xlfn.REGEXEXTRACT(F2, "[一-龥]+")&amp;"、"&amp;_xlfn.REGEXEXTRACT(G2, "[一-龥]+")&amp;"、"&amp;H2&amp;"；"</f>
        <v>火星、魔羯座、第九宫；</v>
      </c>
    </row>
  </sheetData>
  <mergeCells count="5">
    <mergeCell ref="F4:H4"/>
    <mergeCell ref="F5:H5"/>
    <mergeCell ref="F6:H6"/>
    <mergeCell ref="I13:K13"/>
    <mergeCell ref="E13:G15"/>
  </mergeCells>
  <phoneticPr fontId="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占星开始">
                <anchor moveWithCells="1" sizeWithCells="1">
                  <from>
                    <xdr:col>5</xdr:col>
                    <xdr:colOff>50800</xdr:colOff>
                    <xdr:row>7</xdr:row>
                    <xdr:rowOff>12700</xdr:rowOff>
                  </from>
                  <to>
                    <xdr:col>6</xdr:col>
                    <xdr:colOff>387350</xdr:colOff>
                    <xdr:row>8</xdr:row>
                    <xdr:rowOff>120650</xdr:rowOff>
                  </to>
                </anchor>
              </controlPr>
            </control>
          </mc:Choice>
        </mc:AlternateContent>
        <mc:AlternateContent xmlns:mc="http://schemas.openxmlformats.org/markup-compatibility/2006">
          <mc:Choice Requires="x14">
            <control shapeId="6146" r:id="rId4" name="Button 2">
              <controlPr defaultSize="0" print="0" autoFill="0" autoPict="0" macro="[0]!占星停止">
                <anchor moveWithCells="1" sizeWithCells="1">
                  <from>
                    <xdr:col>5</xdr:col>
                    <xdr:colOff>63500</xdr:colOff>
                    <xdr:row>9</xdr:row>
                    <xdr:rowOff>107950</xdr:rowOff>
                  </from>
                  <to>
                    <xdr:col>6</xdr:col>
                    <xdr:colOff>393700</xdr:colOff>
                    <xdr:row>11</xdr:row>
                    <xdr:rowOff>38100</xdr:rowOff>
                  </to>
                </anchor>
              </controlPr>
            </control>
          </mc:Choice>
        </mc:AlternateContent>
        <mc:AlternateContent xmlns:mc="http://schemas.openxmlformats.org/markup-compatibility/2006">
          <mc:Choice Requires="x14">
            <control shapeId="6147" r:id="rId5" name="Button 3">
              <controlPr defaultSize="0" print="0" autoFill="0" autoPict="0" macro="[0]!清除占星">
                <anchor moveWithCells="1" sizeWithCells="1">
                  <from>
                    <xdr:col>3</xdr:col>
                    <xdr:colOff>120650</xdr:colOff>
                    <xdr:row>7</xdr:row>
                    <xdr:rowOff>127000</xdr:rowOff>
                  </from>
                  <to>
                    <xdr:col>4</xdr:col>
                    <xdr:colOff>406400</xdr:colOff>
                    <xdr:row>9</xdr:row>
                    <xdr:rowOff>6350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5E6C43-C3C3-49BF-A908-7E5BB5E48CCD}">
  <sheetPr codeName="Sheet5"/>
  <dimension ref="A1:F48"/>
  <sheetViews>
    <sheetView topLeftCell="C1" workbookViewId="0">
      <selection activeCell="F15" sqref="F15"/>
    </sheetView>
  </sheetViews>
  <sheetFormatPr defaultRowHeight="14"/>
  <cols>
    <col min="1" max="1" width="20.33203125" hidden="1" customWidth="1"/>
    <col min="2" max="2" width="41.9140625" hidden="1" customWidth="1"/>
    <col min="5" max="5" width="18" customWidth="1"/>
    <col min="6" max="6" width="45.33203125" customWidth="1"/>
  </cols>
  <sheetData>
    <row r="1" spans="1:6" ht="14.5" thickBot="1">
      <c r="E1" t="s">
        <v>1547</v>
      </c>
    </row>
    <row r="2" spans="1:6">
      <c r="E2" s="115" t="s">
        <v>474</v>
      </c>
      <c r="F2" s="116" t="str">
        <f>INDEX(B4:B46, MATCH(E2, A4:A46, 0))</f>
        <v>公众、社交、活动、人群、网络、公开场合</v>
      </c>
    </row>
    <row r="3" spans="1:6">
      <c r="E3" s="103" t="s">
        <v>468</v>
      </c>
      <c r="F3" s="111" t="str">
        <f>INDEX(B4:B46, MATCH(E3, A4:A46, 0))</f>
        <v>变化、搬家、怀孕、改善、迁移、周期</v>
      </c>
    </row>
    <row r="4" spans="1:6" ht="14.5" thickBot="1">
      <c r="A4" s="57" t="s">
        <v>439</v>
      </c>
      <c r="B4" s="57" t="s">
        <v>436</v>
      </c>
      <c r="E4" s="121" t="s">
        <v>458</v>
      </c>
      <c r="F4" s="122" t="str">
        <f>INDEX(B4:B46, MATCH(E4, A4:A46, 0))</f>
        <v>交谈、紧张、社交媒体、双胞胎、一对、电话</v>
      </c>
    </row>
    <row r="5" spans="1:6">
      <c r="A5" s="58" t="s">
        <v>440</v>
      </c>
      <c r="B5" s="58" t="s">
        <v>437</v>
      </c>
    </row>
    <row r="6" spans="1:6">
      <c r="A6" s="57" t="s">
        <v>441</v>
      </c>
      <c r="B6" s="57" t="s">
        <v>438</v>
      </c>
    </row>
    <row r="7" spans="1:6">
      <c r="A7" s="58" t="s">
        <v>442</v>
      </c>
      <c r="B7" s="58" t="s">
        <v>443</v>
      </c>
    </row>
    <row r="8" spans="1:6">
      <c r="A8" s="57" t="s">
        <v>444</v>
      </c>
      <c r="B8" s="57" t="s">
        <v>445</v>
      </c>
    </row>
    <row r="9" spans="1:6">
      <c r="A9" s="58" t="s">
        <v>446</v>
      </c>
      <c r="B9" s="58" t="s">
        <v>447</v>
      </c>
    </row>
    <row r="10" spans="1:6">
      <c r="A10" s="57" t="s">
        <v>448</v>
      </c>
      <c r="B10" s="57" t="s">
        <v>449</v>
      </c>
    </row>
    <row r="11" spans="1:6">
      <c r="A11" s="58" t="s">
        <v>450</v>
      </c>
      <c r="B11" s="58" t="s">
        <v>451</v>
      </c>
    </row>
    <row r="12" spans="1:6">
      <c r="A12" s="57" t="s">
        <v>452</v>
      </c>
      <c r="B12" s="57" t="s">
        <v>453</v>
      </c>
    </row>
    <row r="13" spans="1:6">
      <c r="A13" s="58" t="s">
        <v>455</v>
      </c>
      <c r="B13" s="58" t="s">
        <v>454</v>
      </c>
    </row>
    <row r="14" spans="1:6" ht="14.5" thickBot="1">
      <c r="A14" s="57" t="s">
        <v>456</v>
      </c>
      <c r="B14" s="57" t="s">
        <v>457</v>
      </c>
    </row>
    <row r="15" spans="1:6" ht="14.5" thickBot="1">
      <c r="A15" s="58" t="s">
        <v>458</v>
      </c>
      <c r="B15" s="58" t="s">
        <v>459</v>
      </c>
      <c r="F15" s="183" t="str">
        <f>A48</f>
        <v>花园（Garden）、鹳（Stork）、鸟（Birds）；</v>
      </c>
    </row>
    <row r="16" spans="1:6">
      <c r="A16" s="57" t="s">
        <v>460</v>
      </c>
      <c r="B16" s="57" t="s">
        <v>461</v>
      </c>
    </row>
    <row r="17" spans="1:2">
      <c r="A17" s="58" t="s">
        <v>463</v>
      </c>
      <c r="B17" s="58" t="s">
        <v>462</v>
      </c>
    </row>
    <row r="18" spans="1:2">
      <c r="A18" s="57" t="s">
        <v>464</v>
      </c>
      <c r="B18" s="57" t="s">
        <v>465</v>
      </c>
    </row>
    <row r="19" spans="1:2">
      <c r="A19" s="58" t="s">
        <v>466</v>
      </c>
      <c r="B19" s="58" t="s">
        <v>467</v>
      </c>
    </row>
    <row r="20" spans="1:2">
      <c r="A20" s="57" t="s">
        <v>468</v>
      </c>
      <c r="B20" s="57" t="s">
        <v>469</v>
      </c>
    </row>
    <row r="21" spans="1:2">
      <c r="A21" s="58" t="s">
        <v>470</v>
      </c>
      <c r="B21" s="58" t="s">
        <v>471</v>
      </c>
    </row>
    <row r="22" spans="1:2">
      <c r="A22" s="57" t="s">
        <v>472</v>
      </c>
      <c r="B22" s="57" t="s">
        <v>473</v>
      </c>
    </row>
    <row r="23" spans="1:2">
      <c r="A23" s="58" t="s">
        <v>474</v>
      </c>
      <c r="B23" s="58" t="s">
        <v>475</v>
      </c>
    </row>
    <row r="24" spans="1:2">
      <c r="A24" s="57" t="s">
        <v>476</v>
      </c>
      <c r="B24" s="57" t="s">
        <v>477</v>
      </c>
    </row>
    <row r="25" spans="1:2">
      <c r="A25" s="58" t="s">
        <v>478</v>
      </c>
      <c r="B25" s="58" t="s">
        <v>479</v>
      </c>
    </row>
    <row r="26" spans="1:2">
      <c r="A26" s="57" t="s">
        <v>480</v>
      </c>
      <c r="B26" s="57" t="s">
        <v>481</v>
      </c>
    </row>
    <row r="27" spans="1:2">
      <c r="A27" s="58" t="s">
        <v>482</v>
      </c>
      <c r="B27" s="58" t="s">
        <v>483</v>
      </c>
    </row>
    <row r="28" spans="1:2">
      <c r="A28" s="57" t="s">
        <v>484</v>
      </c>
      <c r="B28" s="57" t="s">
        <v>485</v>
      </c>
    </row>
    <row r="29" spans="1:2">
      <c r="A29" s="58" t="s">
        <v>486</v>
      </c>
      <c r="B29" s="58" t="s">
        <v>487</v>
      </c>
    </row>
    <row r="30" spans="1:2">
      <c r="A30" s="57" t="s">
        <v>488</v>
      </c>
      <c r="B30" s="57" t="s">
        <v>489</v>
      </c>
    </row>
    <row r="31" spans="1:2">
      <c r="A31" s="58" t="s">
        <v>490</v>
      </c>
      <c r="B31" s="58" t="s">
        <v>491</v>
      </c>
    </row>
    <row r="32" spans="1:2">
      <c r="A32" s="57" t="s">
        <v>492</v>
      </c>
      <c r="B32" s="57" t="s">
        <v>493</v>
      </c>
    </row>
    <row r="33" spans="1:2">
      <c r="A33" s="58" t="s">
        <v>494</v>
      </c>
      <c r="B33" s="58" t="s">
        <v>495</v>
      </c>
    </row>
    <row r="34" spans="1:2">
      <c r="A34" s="57" t="s">
        <v>496</v>
      </c>
      <c r="B34" s="57" t="s">
        <v>497</v>
      </c>
    </row>
    <row r="35" spans="1:2">
      <c r="A35" s="58" t="s">
        <v>498</v>
      </c>
      <c r="B35" s="58" t="s">
        <v>499</v>
      </c>
    </row>
    <row r="36" spans="1:2">
      <c r="A36" s="57" t="s">
        <v>500</v>
      </c>
      <c r="B36" s="57" t="s">
        <v>501</v>
      </c>
    </row>
    <row r="37" spans="1:2">
      <c r="A37" s="58" t="s">
        <v>502</v>
      </c>
      <c r="B37" s="58" t="s">
        <v>503</v>
      </c>
    </row>
    <row r="38" spans="1:2">
      <c r="A38" s="57" t="s">
        <v>504</v>
      </c>
      <c r="B38" s="57" t="s">
        <v>505</v>
      </c>
    </row>
    <row r="39" spans="1:2">
      <c r="A39" s="58" t="s">
        <v>506</v>
      </c>
      <c r="B39" s="58" t="s">
        <v>507</v>
      </c>
    </row>
    <row r="40" spans="1:2">
      <c r="A40" s="57" t="s">
        <v>789</v>
      </c>
      <c r="B40" s="57" t="s">
        <v>790</v>
      </c>
    </row>
    <row r="41" spans="1:2">
      <c r="A41" s="58" t="s">
        <v>791</v>
      </c>
      <c r="B41" s="58" t="s">
        <v>792</v>
      </c>
    </row>
    <row r="42" spans="1:2">
      <c r="A42" s="57" t="s">
        <v>793</v>
      </c>
      <c r="B42" s="57" t="s">
        <v>794</v>
      </c>
    </row>
    <row r="43" spans="1:2">
      <c r="A43" s="58" t="s">
        <v>795</v>
      </c>
      <c r="B43" s="58" t="s">
        <v>796</v>
      </c>
    </row>
    <row r="44" spans="1:2">
      <c r="A44" s="57" t="s">
        <v>797</v>
      </c>
      <c r="B44" s="57" t="s">
        <v>798</v>
      </c>
    </row>
    <row r="45" spans="1:2">
      <c r="A45" s="58" t="s">
        <v>799</v>
      </c>
      <c r="B45" s="58" t="s">
        <v>800</v>
      </c>
    </row>
    <row r="46" spans="1:2">
      <c r="A46" s="57" t="s">
        <v>801</v>
      </c>
      <c r="B46" s="57" t="s">
        <v>802</v>
      </c>
    </row>
    <row r="48" spans="1:2">
      <c r="A48" t="str">
        <f>E2&amp;"、"&amp;E3&amp;"、"&amp;E4&amp;"；"</f>
        <v>花园（Garden）、鹳（Stork）、鸟（Birds）；</v>
      </c>
    </row>
  </sheetData>
  <phoneticPr fontId="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清除雷诺曼">
                <anchor moveWithCells="1" sizeWithCells="1">
                  <from>
                    <xdr:col>4</xdr:col>
                    <xdr:colOff>450850</xdr:colOff>
                    <xdr:row>11</xdr:row>
                    <xdr:rowOff>133350</xdr:rowOff>
                  </from>
                  <to>
                    <xdr:col>5</xdr:col>
                    <xdr:colOff>260350</xdr:colOff>
                    <xdr:row>13</xdr:row>
                    <xdr:rowOff>82550</xdr:rowOff>
                  </to>
                </anchor>
              </controlPr>
            </control>
          </mc:Choice>
        </mc:AlternateContent>
        <mc:AlternateContent xmlns:mc="http://schemas.openxmlformats.org/markup-compatibility/2006">
          <mc:Choice Requires="x14">
            <control shapeId="7171" r:id="rId4" name="Button 3">
              <controlPr defaultSize="0" print="0" autoFill="0" autoPict="0" macro="[0]!雷诺曼停止">
                <anchor moveWithCells="1" sizeWithCells="1">
                  <from>
                    <xdr:col>4</xdr:col>
                    <xdr:colOff>361950</xdr:colOff>
                    <xdr:row>8</xdr:row>
                    <xdr:rowOff>38100</xdr:rowOff>
                  </from>
                  <to>
                    <xdr:col>5</xdr:col>
                    <xdr:colOff>730250</xdr:colOff>
                    <xdr:row>10</xdr:row>
                    <xdr:rowOff>95250</xdr:rowOff>
                  </to>
                </anchor>
              </controlPr>
            </control>
          </mc:Choice>
        </mc:AlternateContent>
        <mc:AlternateContent xmlns:mc="http://schemas.openxmlformats.org/markup-compatibility/2006">
          <mc:Choice Requires="x14">
            <control shapeId="7170" r:id="rId5" name="Button 2">
              <controlPr defaultSize="0" print="0" autoFill="0" autoPict="0" macro="[0]!雷诺曼开始">
                <anchor moveWithCells="1" sizeWithCells="1">
                  <from>
                    <xdr:col>4</xdr:col>
                    <xdr:colOff>381000</xdr:colOff>
                    <xdr:row>5</xdr:row>
                    <xdr:rowOff>38100</xdr:rowOff>
                  </from>
                  <to>
                    <xdr:col>5</xdr:col>
                    <xdr:colOff>717550</xdr:colOff>
                    <xdr:row>7</xdr:row>
                    <xdr:rowOff>44450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375EB-0115-41DB-81D2-2685AA0B2BE4}">
  <sheetPr codeName="Sheet6"/>
  <dimension ref="A1:I43"/>
  <sheetViews>
    <sheetView topLeftCell="D1" workbookViewId="0">
      <selection activeCell="F15" sqref="F15:I15"/>
    </sheetView>
  </sheetViews>
  <sheetFormatPr defaultRowHeight="14"/>
  <cols>
    <col min="1" max="1" width="24.4140625" hidden="1" customWidth="1"/>
    <col min="2" max="2" width="39" hidden="1" customWidth="1"/>
    <col min="3" max="3" width="13.08203125" hidden="1" customWidth="1"/>
    <col min="5" max="5" width="24.4140625" customWidth="1"/>
    <col min="6" max="6" width="37.5" customWidth="1"/>
  </cols>
  <sheetData>
    <row r="1" spans="1:9" ht="14.5" thickBot="1">
      <c r="E1" t="s">
        <v>1550</v>
      </c>
    </row>
    <row r="2" spans="1:9">
      <c r="A2" s="102" t="s">
        <v>703</v>
      </c>
      <c r="B2" s="109" t="s">
        <v>705</v>
      </c>
      <c r="C2" s="108" t="s">
        <v>720</v>
      </c>
      <c r="E2" s="138" t="s">
        <v>1548</v>
      </c>
      <c r="F2" s="109" t="str">
        <f>INDEX(B2:B41, MATCH(E2, A2:A41, 0))</f>
        <v>情感混乱、直觉错误、自我欺骗、上瘾、恐惧</v>
      </c>
    </row>
    <row r="3" spans="1:9">
      <c r="A3" s="103" t="s">
        <v>704</v>
      </c>
      <c r="B3" s="111" t="s">
        <v>706</v>
      </c>
      <c r="C3" s="110" t="s">
        <v>721</v>
      </c>
      <c r="E3" s="139" t="s">
        <v>711</v>
      </c>
      <c r="F3" s="137" t="str">
        <f>INDEX(B2:B41, MATCH(E3, A2:A41, 0))</f>
        <v>旅行、道路、进程、节奏、移动、人生旅途</v>
      </c>
    </row>
    <row r="4" spans="1:9" ht="14.5" thickBot="1">
      <c r="A4" s="103" t="s">
        <v>707</v>
      </c>
      <c r="B4" s="111" t="s">
        <v>708</v>
      </c>
      <c r="C4" s="110"/>
      <c r="E4" s="184" t="s">
        <v>1549</v>
      </c>
      <c r="F4" s="185" t="str">
        <f>INDEX(B2:B41, MATCH(E4, A2:A41, 0))</f>
        <v>悲伤、不和、痛苦、失望、人际冲突</v>
      </c>
    </row>
    <row r="5" spans="1:9">
      <c r="A5" s="103" t="s">
        <v>709</v>
      </c>
      <c r="B5" s="111" t="s">
        <v>710</v>
      </c>
      <c r="C5" s="110"/>
    </row>
    <row r="6" spans="1:9">
      <c r="A6" s="103" t="s">
        <v>711</v>
      </c>
      <c r="B6" s="111" t="s">
        <v>712</v>
      </c>
      <c r="C6" s="110"/>
    </row>
    <row r="7" spans="1:9">
      <c r="A7" s="103" t="s">
        <v>713</v>
      </c>
      <c r="B7" s="111" t="s">
        <v>714</v>
      </c>
      <c r="C7" s="110"/>
    </row>
    <row r="8" spans="1:9">
      <c r="A8" s="103" t="s">
        <v>715</v>
      </c>
      <c r="B8" s="111" t="s">
        <v>716</v>
      </c>
      <c r="C8" s="110"/>
    </row>
    <row r="9" spans="1:9" ht="14.5" thickBot="1">
      <c r="A9" s="112" t="s">
        <v>717</v>
      </c>
      <c r="B9" s="113" t="s">
        <v>718</v>
      </c>
      <c r="C9" s="110"/>
    </row>
    <row r="10" spans="1:9">
      <c r="A10" s="115" t="s">
        <v>719</v>
      </c>
      <c r="B10" s="116" t="s">
        <v>724</v>
      </c>
      <c r="C10" s="114" t="s">
        <v>722</v>
      </c>
    </row>
    <row r="11" spans="1:9">
      <c r="A11" s="118" t="s">
        <v>725</v>
      </c>
      <c r="B11" s="119" t="s">
        <v>726</v>
      </c>
      <c r="C11" s="117" t="s">
        <v>723</v>
      </c>
    </row>
    <row r="12" spans="1:9">
      <c r="A12" s="118" t="s">
        <v>727</v>
      </c>
      <c r="B12" s="119" t="s">
        <v>728</v>
      </c>
      <c r="C12" s="117"/>
    </row>
    <row r="13" spans="1:9">
      <c r="A13" s="118" t="s">
        <v>729</v>
      </c>
      <c r="B13" s="119" t="s">
        <v>730</v>
      </c>
      <c r="C13" s="117"/>
    </row>
    <row r="14" spans="1:9" ht="14.5" thickBot="1">
      <c r="A14" s="118" t="s">
        <v>731</v>
      </c>
      <c r="B14" s="119" t="s">
        <v>732</v>
      </c>
      <c r="C14" s="117"/>
    </row>
    <row r="15" spans="1:9" ht="14.5" thickBot="1">
      <c r="A15" s="118" t="s">
        <v>733</v>
      </c>
      <c r="B15" s="119" t="s">
        <v>734</v>
      </c>
      <c r="C15" s="117"/>
      <c r="F15" s="224" t="str">
        <f>A43</f>
        <v>ᛚ Laguz（水/湖）逆位、ᚱ Raidho（旅程）、ᚹ Wunjo（喜悦）逆位；</v>
      </c>
      <c r="G15" s="225"/>
      <c r="H15" s="225"/>
      <c r="I15" s="226"/>
    </row>
    <row r="16" spans="1:9">
      <c r="A16" s="118" t="s">
        <v>735</v>
      </c>
      <c r="B16" s="119" t="s">
        <v>736</v>
      </c>
      <c r="C16" s="117"/>
    </row>
    <row r="17" spans="1:3" ht="14.5" thickBot="1">
      <c r="A17" s="121" t="s">
        <v>737</v>
      </c>
      <c r="B17" s="122" t="s">
        <v>738</v>
      </c>
      <c r="C17" s="120"/>
    </row>
    <row r="18" spans="1:3">
      <c r="A18" s="124" t="s">
        <v>741</v>
      </c>
      <c r="B18" s="125" t="s">
        <v>742</v>
      </c>
      <c r="C18" s="123" t="s">
        <v>739</v>
      </c>
    </row>
    <row r="19" spans="1:3">
      <c r="A19" s="126" t="s">
        <v>743</v>
      </c>
      <c r="B19" s="127" t="s">
        <v>744</v>
      </c>
      <c r="C19" s="123" t="s">
        <v>740</v>
      </c>
    </row>
    <row r="20" spans="1:3">
      <c r="A20" s="126" t="s">
        <v>745</v>
      </c>
      <c r="B20" s="127" t="s">
        <v>746</v>
      </c>
      <c r="C20" s="123"/>
    </row>
    <row r="21" spans="1:3">
      <c r="A21" s="126" t="s">
        <v>747</v>
      </c>
      <c r="B21" s="127" t="s">
        <v>748</v>
      </c>
      <c r="C21" s="123"/>
    </row>
    <row r="22" spans="1:3">
      <c r="A22" s="126" t="s">
        <v>749</v>
      </c>
      <c r="B22" s="127" t="s">
        <v>750</v>
      </c>
      <c r="C22" s="123"/>
    </row>
    <row r="23" spans="1:3">
      <c r="A23" s="126" t="s">
        <v>751</v>
      </c>
      <c r="B23" s="127" t="s">
        <v>752</v>
      </c>
      <c r="C23" s="123"/>
    </row>
    <row r="24" spans="1:3">
      <c r="A24" s="126" t="s">
        <v>753</v>
      </c>
      <c r="B24" s="127" t="s">
        <v>754</v>
      </c>
      <c r="C24" s="123"/>
    </row>
    <row r="25" spans="1:3" ht="14.5" thickBot="1">
      <c r="A25" s="130" t="s">
        <v>755</v>
      </c>
      <c r="B25" s="131" t="s">
        <v>756</v>
      </c>
      <c r="C25" s="123"/>
    </row>
    <row r="26" spans="1:3" ht="14.5" thickBot="1">
      <c r="A26" s="133" t="s">
        <v>757</v>
      </c>
      <c r="B26" s="133" t="s">
        <v>758</v>
      </c>
      <c r="C26" s="133"/>
    </row>
    <row r="27" spans="1:3">
      <c r="A27" s="102" t="s">
        <v>766</v>
      </c>
      <c r="B27" s="102" t="s">
        <v>759</v>
      </c>
      <c r="C27" s="108" t="s">
        <v>720</v>
      </c>
    </row>
    <row r="28" spans="1:3">
      <c r="A28" s="103" t="s">
        <v>767</v>
      </c>
      <c r="B28" s="103" t="s">
        <v>760</v>
      </c>
      <c r="C28" s="110" t="s">
        <v>721</v>
      </c>
    </row>
    <row r="29" spans="1:3">
      <c r="A29" s="103" t="s">
        <v>768</v>
      </c>
      <c r="B29" s="103" t="s">
        <v>761</v>
      </c>
      <c r="C29" s="110"/>
    </row>
    <row r="30" spans="1:3">
      <c r="A30" s="103" t="s">
        <v>769</v>
      </c>
      <c r="B30" s="103" t="s">
        <v>762</v>
      </c>
      <c r="C30" s="110"/>
    </row>
    <row r="31" spans="1:3">
      <c r="A31" s="103" t="s">
        <v>770</v>
      </c>
      <c r="B31" s="103" t="s">
        <v>763</v>
      </c>
      <c r="C31" s="110"/>
    </row>
    <row r="32" spans="1:3">
      <c r="A32" s="103" t="s">
        <v>771</v>
      </c>
      <c r="B32" s="103" t="s">
        <v>764</v>
      </c>
      <c r="C32" s="110"/>
    </row>
    <row r="33" spans="1:3" ht="14.5" thickBot="1">
      <c r="A33" s="104" t="s">
        <v>772</v>
      </c>
      <c r="B33" s="104" t="s">
        <v>765</v>
      </c>
      <c r="C33" s="136"/>
    </row>
    <row r="34" spans="1:3">
      <c r="A34" s="135" t="s">
        <v>773</v>
      </c>
      <c r="B34" s="135" t="s">
        <v>782</v>
      </c>
      <c r="C34" s="114" t="s">
        <v>722</v>
      </c>
    </row>
    <row r="35" spans="1:3" ht="14.5" thickBot="1">
      <c r="A35" s="118" t="s">
        <v>774</v>
      </c>
      <c r="B35" s="118" t="s">
        <v>781</v>
      </c>
      <c r="C35" s="120" t="s">
        <v>723</v>
      </c>
    </row>
    <row r="36" spans="1:3">
      <c r="A36" s="126" t="s">
        <v>775</v>
      </c>
      <c r="B36" s="126" t="s">
        <v>783</v>
      </c>
      <c r="C36" s="134" t="s">
        <v>739</v>
      </c>
    </row>
    <row r="37" spans="1:3">
      <c r="A37" s="126" t="s">
        <v>776</v>
      </c>
      <c r="B37" s="126" t="s">
        <v>784</v>
      </c>
      <c r="C37" s="123" t="s">
        <v>740</v>
      </c>
    </row>
    <row r="38" spans="1:3">
      <c r="A38" s="126" t="s">
        <v>777</v>
      </c>
      <c r="B38" s="126" t="s">
        <v>785</v>
      </c>
      <c r="C38" s="123"/>
    </row>
    <row r="39" spans="1:3">
      <c r="A39" s="126" t="s">
        <v>778</v>
      </c>
      <c r="B39" s="126" t="s">
        <v>786</v>
      </c>
      <c r="C39" s="123"/>
    </row>
    <row r="40" spans="1:3">
      <c r="A40" s="126" t="s">
        <v>779</v>
      </c>
      <c r="B40" s="126" t="s">
        <v>787</v>
      </c>
      <c r="C40" s="123"/>
    </row>
    <row r="41" spans="1:3" ht="14.5" thickBot="1">
      <c r="A41" s="129" t="s">
        <v>780</v>
      </c>
      <c r="B41" s="129" t="s">
        <v>788</v>
      </c>
      <c r="C41" s="128"/>
    </row>
    <row r="42" spans="1:3">
      <c r="A42" s="132"/>
      <c r="B42" s="132"/>
      <c r="C42" s="132"/>
    </row>
    <row r="43" spans="1:3">
      <c r="A43" t="str">
        <f>E2&amp;"、"&amp;E3&amp;"、"&amp;E4&amp;"；"</f>
        <v>ᛚ Laguz（水/湖）逆位、ᚱ Raidho（旅程）、ᚹ Wunjo（喜悦）逆位；</v>
      </c>
    </row>
  </sheetData>
  <mergeCells count="1">
    <mergeCell ref="F15:I15"/>
  </mergeCells>
  <phoneticPr fontId="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清除卢恩">
                <anchor moveWithCells="1" sizeWithCells="1">
                  <from>
                    <xdr:col>4</xdr:col>
                    <xdr:colOff>25400</xdr:colOff>
                    <xdr:row>11</xdr:row>
                    <xdr:rowOff>165100</xdr:rowOff>
                  </from>
                  <to>
                    <xdr:col>4</xdr:col>
                    <xdr:colOff>1549400</xdr:colOff>
                    <xdr:row>13</xdr:row>
                    <xdr:rowOff>114300</xdr:rowOff>
                  </to>
                </anchor>
              </controlPr>
            </control>
          </mc:Choice>
        </mc:AlternateContent>
        <mc:AlternateContent xmlns:mc="http://schemas.openxmlformats.org/markup-compatibility/2006">
          <mc:Choice Requires="x14">
            <control shapeId="8194" r:id="rId4" name="Button 2">
              <controlPr defaultSize="0" print="0" autoFill="0" autoPict="0" macro="[0]!卢恩开始">
                <anchor moveWithCells="1" sizeWithCells="1">
                  <from>
                    <xdr:col>4</xdr:col>
                    <xdr:colOff>38100</xdr:colOff>
                    <xdr:row>5</xdr:row>
                    <xdr:rowOff>57150</xdr:rowOff>
                  </from>
                  <to>
                    <xdr:col>4</xdr:col>
                    <xdr:colOff>1746250</xdr:colOff>
                    <xdr:row>7</xdr:row>
                    <xdr:rowOff>63500</xdr:rowOff>
                  </to>
                </anchor>
              </controlPr>
            </control>
          </mc:Choice>
        </mc:AlternateContent>
        <mc:AlternateContent xmlns:mc="http://schemas.openxmlformats.org/markup-compatibility/2006">
          <mc:Choice Requires="x14">
            <control shapeId="8195" r:id="rId5" name="Button 3">
              <controlPr defaultSize="0" print="0" autoFill="0" autoPict="0" macro="[0]!卢恩停止">
                <anchor moveWithCells="1" sizeWithCells="1">
                  <from>
                    <xdr:col>4</xdr:col>
                    <xdr:colOff>19050</xdr:colOff>
                    <xdr:row>8</xdr:row>
                    <xdr:rowOff>57150</xdr:rowOff>
                  </from>
                  <to>
                    <xdr:col>4</xdr:col>
                    <xdr:colOff>1758950</xdr:colOff>
                    <xdr:row>10</xdr:row>
                    <xdr:rowOff>107950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7F466A-AF82-4EE7-908F-FF73B7796CCA}">
  <sheetPr codeName="Sheet3"/>
  <dimension ref="A1:AA50"/>
  <sheetViews>
    <sheetView topLeftCell="M1" workbookViewId="0">
      <selection activeCell="S4" sqref="S4"/>
    </sheetView>
  </sheetViews>
  <sheetFormatPr defaultRowHeight="14"/>
  <cols>
    <col min="1" max="1" width="13.4140625" style="188" hidden="1" customWidth="1"/>
    <col min="2" max="2" width="0" style="188" hidden="1" customWidth="1"/>
    <col min="3" max="3" width="11.08203125" style="188" hidden="1" customWidth="1"/>
    <col min="4" max="11" width="14.75" style="188" hidden="1" customWidth="1"/>
    <col min="12" max="12" width="14.75" style="3" hidden="1" customWidth="1"/>
    <col min="18" max="18" width="9.08203125" customWidth="1"/>
    <col min="19" max="19" width="15.33203125" style="140" customWidth="1"/>
    <col min="20" max="20" width="9.08203125" customWidth="1"/>
    <col min="21" max="21" width="16.25" customWidth="1"/>
    <col min="22" max="22" width="9.08203125" customWidth="1"/>
    <col min="23" max="23" width="15.25" customWidth="1"/>
    <col min="24" max="24" width="9.08203125" customWidth="1"/>
    <col min="25" max="25" width="15.6640625" customWidth="1"/>
  </cols>
  <sheetData>
    <row r="1" spans="1:27" ht="14.5" thickBot="1">
      <c r="D1" s="189" t="s">
        <v>994</v>
      </c>
      <c r="E1" s="189" t="s">
        <v>995</v>
      </c>
      <c r="F1" s="188" t="s">
        <v>996</v>
      </c>
      <c r="G1" s="188" t="s">
        <v>997</v>
      </c>
      <c r="H1" s="189" t="s">
        <v>998</v>
      </c>
      <c r="I1" s="189" t="s">
        <v>999</v>
      </c>
      <c r="J1" s="189" t="s">
        <v>1000</v>
      </c>
      <c r="K1" s="189" t="s">
        <v>1001</v>
      </c>
      <c r="L1" s="187" t="s">
        <v>1002</v>
      </c>
      <c r="O1" t="s">
        <v>1544</v>
      </c>
    </row>
    <row r="2" spans="1:27" ht="54.5" thickBot="1">
      <c r="A2" s="188" t="s">
        <v>1004</v>
      </c>
      <c r="B2" s="188" t="s">
        <v>1003</v>
      </c>
      <c r="C2" s="188" t="str">
        <f>MID(D2,4,4)</f>
        <v>化喜逢时</v>
      </c>
      <c r="D2" s="189" t="s">
        <v>1076</v>
      </c>
      <c r="E2" s="189" t="s">
        <v>1125</v>
      </c>
      <c r="F2" s="189" t="s">
        <v>1174</v>
      </c>
      <c r="G2" s="189" t="s">
        <v>1223</v>
      </c>
      <c r="H2" s="189" t="s">
        <v>1271</v>
      </c>
      <c r="I2" s="189" t="s">
        <v>1320</v>
      </c>
      <c r="J2" s="189" t="s">
        <v>1368</v>
      </c>
      <c r="K2" s="189" t="s">
        <v>1416</v>
      </c>
      <c r="L2" s="187" t="s">
        <v>1512</v>
      </c>
      <c r="O2" t="s">
        <v>1024</v>
      </c>
      <c r="Q2" s="208" t="str">
        <f>INDEX(B2:B50, MATCH(O2, A2:A50, 0))</f>
        <v>下下</v>
      </c>
      <c r="R2" s="38"/>
    </row>
    <row r="3" spans="1:27" ht="72" customHeight="1" thickBot="1">
      <c r="A3" s="188" t="s">
        <v>1042</v>
      </c>
      <c r="B3" s="188" t="s">
        <v>1053</v>
      </c>
      <c r="C3" s="188" t="str">
        <f t="shared" ref="C3:C50" si="0">MID(D3,4,4)</f>
        <v>林须动众</v>
      </c>
      <c r="D3" s="189" t="s">
        <v>1077</v>
      </c>
      <c r="E3" s="189" t="s">
        <v>1126</v>
      </c>
      <c r="F3" s="189" t="s">
        <v>1175</v>
      </c>
      <c r="G3" s="189" t="s">
        <v>1224</v>
      </c>
      <c r="H3" s="189" t="s">
        <v>1272</v>
      </c>
      <c r="I3" s="189" t="s">
        <v>1321</v>
      </c>
      <c r="J3" s="189" t="s">
        <v>1369</v>
      </c>
      <c r="K3" s="189" t="s">
        <v>1417</v>
      </c>
      <c r="L3" s="187" t="s">
        <v>1513</v>
      </c>
      <c r="R3" s="195" t="s">
        <v>994</v>
      </c>
      <c r="S3" s="196" t="str">
        <f>INDEX(D2:D50, MATCH(O2, A2:A50, 0))</f>
        <v>花正吐时遭夜雨，月当明被云遮。寄言桃李休相笑，一日云开自有时。</v>
      </c>
      <c r="T3" s="197" t="s">
        <v>995</v>
      </c>
      <c r="U3" s="198" t="str">
        <f>INDEX(E2:E50, MATCH(O2, A2:A50, 0))</f>
        <v>世间谁及汝聪明，争奈时乖事未成。且在灯窗成旧业，待交秋后问功名。</v>
      </c>
      <c r="V3" s="193" t="s">
        <v>996</v>
      </c>
      <c r="W3" s="194" t="str">
        <f>INDEX(F2:F50, MATCH(O2, A2:A50, 0))</f>
        <v>有心斋戒不宜开，恐惹非灾横祸来。归去依然修正果，免教人眷起悲哀。</v>
      </c>
      <c r="X3" s="191" t="s">
        <v>997</v>
      </c>
      <c r="Y3" s="192" t="str">
        <f>INDEX(G2:G50, MATCH(O2, A2:A50, 0))</f>
        <v>已前姻偶本来绿，却被傍人说乱言。今日欲求难得就，不如归去待迟延。</v>
      </c>
      <c r="Z3" s="189"/>
      <c r="AA3" s="187"/>
    </row>
    <row r="4" spans="1:27" ht="72" customHeight="1" thickBot="1">
      <c r="A4" s="188" t="s">
        <v>1041</v>
      </c>
      <c r="B4" s="188" t="s">
        <v>1003</v>
      </c>
      <c r="C4" s="188" t="str">
        <f t="shared" si="0"/>
        <v>今喜泰来</v>
      </c>
      <c r="D4" s="189" t="s">
        <v>1078</v>
      </c>
      <c r="E4" s="189" t="s">
        <v>1127</v>
      </c>
      <c r="F4" s="189" t="s">
        <v>1176</v>
      </c>
      <c r="G4" s="189" t="s">
        <v>1225</v>
      </c>
      <c r="H4" s="189" t="s">
        <v>1273</v>
      </c>
      <c r="I4" s="189" t="s">
        <v>1322</v>
      </c>
      <c r="J4" s="189" t="s">
        <v>1370</v>
      </c>
      <c r="K4" s="189" t="s">
        <v>1418</v>
      </c>
      <c r="L4" s="187" t="s">
        <v>1465</v>
      </c>
      <c r="R4" s="199" t="s">
        <v>998</v>
      </c>
      <c r="S4" s="200" t="str">
        <f>INDEX(H2:H50, MATCH(O2, A2:A50, 0))</f>
        <v>有心人算没心人，失却资财却问神。踪迹有时终久在，不须发恶惹人慎。</v>
      </c>
      <c r="T4" s="201" t="s">
        <v>999</v>
      </c>
      <c r="U4" s="202" t="str">
        <f>INDEX(I2:I50, MATCH(O2, A2:A50, 0))</f>
        <v>本来无事惹非灾，只为他人做出来。若到公厅难理直，不如私下劝和开。</v>
      </c>
      <c r="V4" s="206" t="s">
        <v>1000</v>
      </c>
      <c r="W4" s="207" t="str">
        <f>INDEX(J2:J50, MATCH(O2, A2:A50, 0))</f>
        <v>人去他乡未到家，两头心绪乱如苏。谁交云散蟾光现，方见人财兔叹嗟。</v>
      </c>
      <c r="X4" s="204" t="s">
        <v>1001</v>
      </c>
      <c r="Y4" s="205" t="str">
        <f>INDEX(K2:K50, MATCH(O2, A2:A50, 0))</f>
        <v>病已临身脱则难，求医无效减容颜。须知旧愿宜先赛，可免身淹枕席间。</v>
      </c>
    </row>
    <row r="5" spans="1:27" ht="72" customHeight="1" thickBot="1">
      <c r="A5" s="188" t="s">
        <v>1040</v>
      </c>
      <c r="B5" s="188" t="s">
        <v>1053</v>
      </c>
      <c r="C5" s="188" t="str">
        <f t="shared" si="0"/>
        <v>力欲成功</v>
      </c>
      <c r="D5" s="189" t="s">
        <v>1079</v>
      </c>
      <c r="E5" s="189" t="s">
        <v>1128</v>
      </c>
      <c r="F5" s="189" t="s">
        <v>1177</v>
      </c>
      <c r="G5" s="189" t="s">
        <v>1226</v>
      </c>
      <c r="H5" s="189" t="s">
        <v>1274</v>
      </c>
      <c r="I5" s="189" t="s">
        <v>1323</v>
      </c>
      <c r="J5" s="189" t="s">
        <v>1371</v>
      </c>
      <c r="K5" s="189" t="s">
        <v>1419</v>
      </c>
      <c r="L5" s="187" t="s">
        <v>1466</v>
      </c>
      <c r="R5" s="203" t="s">
        <v>1002</v>
      </c>
      <c r="S5" s="273" t="str">
        <f>INDEX(L2:L50, MATCH(O2, A2:A50, 0))</f>
        <v>占家宅只宜守旧谨慎，失物，防口舌，病者作福，求财未遂，行人未至，官事失理，婚姻难成，六甲生女，求官未达，田蚕半熟，六畜损失，走失难寻。</v>
      </c>
      <c r="T5" s="273"/>
      <c r="U5" s="273"/>
      <c r="V5" s="273"/>
      <c r="W5" s="273"/>
      <c r="X5" s="273"/>
      <c r="Y5" s="274"/>
    </row>
    <row r="6" spans="1:27" ht="72" customHeight="1">
      <c r="A6" s="188" t="s">
        <v>1039</v>
      </c>
      <c r="B6" s="188" t="s">
        <v>1003</v>
      </c>
      <c r="C6" s="188" t="str">
        <f t="shared" si="0"/>
        <v>顺去无疑</v>
      </c>
      <c r="D6" s="189" t="s">
        <v>1080</v>
      </c>
      <c r="E6" s="189" t="s">
        <v>1129</v>
      </c>
      <c r="F6" s="189" t="s">
        <v>1178</v>
      </c>
      <c r="G6" s="189" t="s">
        <v>1227</v>
      </c>
      <c r="H6" s="189" t="s">
        <v>1275</v>
      </c>
      <c r="I6" s="189" t="s">
        <v>1514</v>
      </c>
      <c r="J6" s="189" t="s">
        <v>1372</v>
      </c>
      <c r="K6" s="189" t="s">
        <v>1420</v>
      </c>
      <c r="L6" s="187" t="s">
        <v>1467</v>
      </c>
    </row>
    <row r="7" spans="1:27" ht="54" customHeight="1">
      <c r="A7" s="188" t="s">
        <v>1038</v>
      </c>
      <c r="B7" s="188" t="s">
        <v>1054</v>
      </c>
      <c r="C7" s="188" t="s">
        <v>1056</v>
      </c>
      <c r="D7" s="189" t="s">
        <v>1081</v>
      </c>
      <c r="E7" s="189" t="s">
        <v>1130</v>
      </c>
      <c r="F7" s="189" t="s">
        <v>1179</v>
      </c>
      <c r="G7" s="189" t="s">
        <v>1228</v>
      </c>
      <c r="H7" s="189" t="s">
        <v>1276</v>
      </c>
      <c r="I7" s="189" t="s">
        <v>1324</v>
      </c>
      <c r="J7" s="189" t="s">
        <v>1373</v>
      </c>
      <c r="K7" s="189" t="s">
        <v>1421</v>
      </c>
      <c r="L7" s="187" t="s">
        <v>1468</v>
      </c>
      <c r="T7" s="140"/>
      <c r="U7" s="140"/>
      <c r="V7" s="190"/>
    </row>
    <row r="8" spans="1:27" ht="54">
      <c r="A8" s="188" t="s">
        <v>1037</v>
      </c>
      <c r="B8" s="188" t="s">
        <v>1055</v>
      </c>
      <c r="C8" s="188" t="str">
        <f t="shared" si="0"/>
        <v>春色欲华</v>
      </c>
      <c r="D8" s="189" t="s">
        <v>1082</v>
      </c>
      <c r="E8" s="189" t="s">
        <v>1131</v>
      </c>
      <c r="F8" s="189" t="s">
        <v>1180</v>
      </c>
      <c r="G8" s="189" t="s">
        <v>1229</v>
      </c>
      <c r="H8" s="189" t="s">
        <v>1277</v>
      </c>
      <c r="I8" s="189" t="s">
        <v>1325</v>
      </c>
      <c r="J8" s="189" t="s">
        <v>1374</v>
      </c>
      <c r="K8" s="189" t="s">
        <v>1422</v>
      </c>
      <c r="L8" s="187" t="s">
        <v>1469</v>
      </c>
      <c r="R8" s="186"/>
      <c r="T8" s="140"/>
      <c r="U8" s="140"/>
      <c r="V8" s="190"/>
    </row>
    <row r="9" spans="1:27" ht="54">
      <c r="A9" s="188" t="s">
        <v>1036</v>
      </c>
      <c r="B9" s="188" t="s">
        <v>1054</v>
      </c>
      <c r="C9" s="189" t="s">
        <v>1057</v>
      </c>
      <c r="D9" s="189" t="s">
        <v>1083</v>
      </c>
      <c r="E9" s="189" t="s">
        <v>1132</v>
      </c>
      <c r="F9" s="189" t="s">
        <v>1181</v>
      </c>
      <c r="G9" s="189" t="s">
        <v>1230</v>
      </c>
      <c r="H9" s="189" t="s">
        <v>1278</v>
      </c>
      <c r="I9" s="189" t="s">
        <v>1326</v>
      </c>
      <c r="J9" s="189" t="s">
        <v>1375</v>
      </c>
      <c r="K9" s="189" t="s">
        <v>1423</v>
      </c>
      <c r="L9" s="187" t="s">
        <v>1470</v>
      </c>
      <c r="T9" s="189"/>
    </row>
    <row r="10" spans="1:27" ht="54">
      <c r="A10" s="188" t="s">
        <v>1035</v>
      </c>
      <c r="B10" s="188" t="s">
        <v>1058</v>
      </c>
      <c r="C10" s="188" t="s">
        <v>1059</v>
      </c>
      <c r="D10" s="189" t="s">
        <v>1084</v>
      </c>
      <c r="E10" s="189" t="s">
        <v>1133</v>
      </c>
      <c r="F10" s="189" t="s">
        <v>1182</v>
      </c>
      <c r="G10" s="189" t="s">
        <v>1231</v>
      </c>
      <c r="H10" s="189" t="s">
        <v>1279</v>
      </c>
      <c r="I10" s="189" t="s">
        <v>1327</v>
      </c>
      <c r="J10" s="189" t="s">
        <v>1376</v>
      </c>
      <c r="K10" s="189" t="s">
        <v>1424</v>
      </c>
      <c r="L10" s="187" t="s">
        <v>1471</v>
      </c>
      <c r="T10" s="189"/>
    </row>
    <row r="11" spans="1:27" ht="54">
      <c r="A11" s="188" t="s">
        <v>1043</v>
      </c>
      <c r="B11" s="188" t="s">
        <v>1054</v>
      </c>
      <c r="C11" s="189" t="s">
        <v>1060</v>
      </c>
      <c r="D11" s="189" t="s">
        <v>1085</v>
      </c>
      <c r="E11" s="189" t="s">
        <v>1134</v>
      </c>
      <c r="F11" s="189" t="s">
        <v>1183</v>
      </c>
      <c r="G11" s="189" t="s">
        <v>1232</v>
      </c>
      <c r="H11" s="189" t="s">
        <v>1280</v>
      </c>
      <c r="I11" s="189" t="s">
        <v>1328</v>
      </c>
      <c r="J11" s="189" t="s">
        <v>1377</v>
      </c>
      <c r="K11" s="189" t="s">
        <v>1425</v>
      </c>
      <c r="L11" s="187" t="s">
        <v>1472</v>
      </c>
      <c r="T11" s="187"/>
    </row>
    <row r="12" spans="1:27" ht="54">
      <c r="A12" s="188" t="s">
        <v>1045</v>
      </c>
      <c r="B12" s="188" t="s">
        <v>1003</v>
      </c>
      <c r="C12" s="188" t="str">
        <f t="shared" si="0"/>
        <v>狱争讼了</v>
      </c>
      <c r="D12" s="189" t="s">
        <v>1086</v>
      </c>
      <c r="E12" s="189" t="s">
        <v>1135</v>
      </c>
      <c r="F12" s="189" t="s">
        <v>1184</v>
      </c>
      <c r="G12" s="189" t="s">
        <v>1233</v>
      </c>
      <c r="H12" s="189" t="s">
        <v>1281</v>
      </c>
      <c r="I12" s="189" t="s">
        <v>1329</v>
      </c>
      <c r="J12" s="189" t="s">
        <v>1378</v>
      </c>
      <c r="K12" s="189" t="s">
        <v>1426</v>
      </c>
      <c r="L12" s="187" t="s">
        <v>1473</v>
      </c>
    </row>
    <row r="13" spans="1:27" ht="54">
      <c r="A13" s="188" t="s">
        <v>1044</v>
      </c>
      <c r="B13" s="188" t="s">
        <v>1054</v>
      </c>
      <c r="C13" s="188" t="s">
        <v>1061</v>
      </c>
      <c r="D13" s="189" t="s">
        <v>1087</v>
      </c>
      <c r="E13" s="189" t="s">
        <v>1136</v>
      </c>
      <c r="F13" s="189" t="s">
        <v>1185</v>
      </c>
      <c r="G13" s="189" t="s">
        <v>1234</v>
      </c>
      <c r="H13" s="189" t="s">
        <v>1282</v>
      </c>
      <c r="I13" s="189" t="s">
        <v>1330</v>
      </c>
      <c r="J13" s="189" t="s">
        <v>1379</v>
      </c>
      <c r="K13" s="189" t="s">
        <v>1427</v>
      </c>
      <c r="L13" s="187" t="s">
        <v>1474</v>
      </c>
    </row>
    <row r="14" spans="1:27" ht="54">
      <c r="A14" s="188" t="s">
        <v>1046</v>
      </c>
      <c r="B14" s="188" t="s">
        <v>1003</v>
      </c>
      <c r="C14" s="188" t="str">
        <f t="shared" si="0"/>
        <v>子喜逢时</v>
      </c>
      <c r="D14" s="189" t="s">
        <v>1088</v>
      </c>
      <c r="E14" s="189" t="s">
        <v>1137</v>
      </c>
      <c r="F14" s="189" t="s">
        <v>1186</v>
      </c>
      <c r="G14" s="189" t="s">
        <v>1235</v>
      </c>
      <c r="H14" s="189" t="s">
        <v>1283</v>
      </c>
      <c r="I14" s="189" t="s">
        <v>1331</v>
      </c>
      <c r="J14" s="189" t="s">
        <v>1380</v>
      </c>
      <c r="K14" s="189" t="s">
        <v>1428</v>
      </c>
      <c r="L14" s="187" t="s">
        <v>1475</v>
      </c>
    </row>
    <row r="15" spans="1:27" ht="54">
      <c r="A15" s="188" t="s">
        <v>1047</v>
      </c>
      <c r="B15" s="188" t="s">
        <v>1058</v>
      </c>
      <c r="C15" s="188" t="str">
        <f t="shared" si="0"/>
        <v>杂最难分</v>
      </c>
      <c r="D15" s="189" t="s">
        <v>1089</v>
      </c>
      <c r="E15" s="189" t="s">
        <v>1138</v>
      </c>
      <c r="F15" s="189" t="s">
        <v>1187</v>
      </c>
      <c r="G15" s="189" t="s">
        <v>1236</v>
      </c>
      <c r="H15" s="189" t="s">
        <v>1284</v>
      </c>
      <c r="I15" s="189" t="s">
        <v>1332</v>
      </c>
      <c r="J15" s="189" t="s">
        <v>1381</v>
      </c>
      <c r="K15" s="189" t="s">
        <v>1429</v>
      </c>
      <c r="L15" s="187" t="s">
        <v>1476</v>
      </c>
    </row>
    <row r="16" spans="1:27" ht="54">
      <c r="A16" s="188" t="s">
        <v>1048</v>
      </c>
      <c r="B16" s="188" t="s">
        <v>1062</v>
      </c>
      <c r="C16" s="188" t="s">
        <v>1063</v>
      </c>
      <c r="D16" s="189" t="s">
        <v>1090</v>
      </c>
      <c r="E16" s="189" t="s">
        <v>1139</v>
      </c>
      <c r="F16" s="189" t="s">
        <v>1188</v>
      </c>
      <c r="G16" s="189" t="s">
        <v>1237</v>
      </c>
      <c r="H16" s="189" t="s">
        <v>1285</v>
      </c>
      <c r="I16" s="189" t="s">
        <v>1333</v>
      </c>
      <c r="J16" s="189" t="s">
        <v>1382</v>
      </c>
      <c r="K16" s="189" t="s">
        <v>1430</v>
      </c>
      <c r="L16" s="187" t="s">
        <v>1477</v>
      </c>
    </row>
    <row r="17" spans="1:12" ht="54">
      <c r="A17" s="188" t="s">
        <v>1049</v>
      </c>
      <c r="B17" s="188" t="s">
        <v>1054</v>
      </c>
      <c r="C17" s="188" t="str">
        <f t="shared" si="0"/>
        <v>灯灯易灭</v>
      </c>
      <c r="D17" s="189" t="s">
        <v>1091</v>
      </c>
      <c r="E17" s="189" t="s">
        <v>1140</v>
      </c>
      <c r="F17" s="189" t="s">
        <v>1189</v>
      </c>
      <c r="G17" s="189" t="s">
        <v>1238</v>
      </c>
      <c r="H17" s="189" t="s">
        <v>1286</v>
      </c>
      <c r="I17" s="189" t="s">
        <v>1334</v>
      </c>
      <c r="J17" s="189" t="s">
        <v>1383</v>
      </c>
      <c r="K17" s="189" t="s">
        <v>1431</v>
      </c>
      <c r="L17" s="187" t="s">
        <v>1478</v>
      </c>
    </row>
    <row r="18" spans="1:12" ht="54">
      <c r="A18" s="188" t="s">
        <v>1050</v>
      </c>
      <c r="B18" s="188" t="s">
        <v>1058</v>
      </c>
      <c r="C18" s="188" t="s">
        <v>1064</v>
      </c>
      <c r="D18" s="189" t="s">
        <v>1092</v>
      </c>
      <c r="E18" s="189" t="s">
        <v>1141</v>
      </c>
      <c r="F18" s="189" t="s">
        <v>1190</v>
      </c>
      <c r="G18" s="189" t="s">
        <v>1239</v>
      </c>
      <c r="H18" s="189" t="s">
        <v>1287</v>
      </c>
      <c r="I18" s="189" t="s">
        <v>1335</v>
      </c>
      <c r="J18" s="189" t="s">
        <v>1384</v>
      </c>
      <c r="K18" s="189" t="s">
        <v>1432</v>
      </c>
      <c r="L18" s="187" t="s">
        <v>1479</v>
      </c>
    </row>
    <row r="19" spans="1:12" ht="54">
      <c r="A19" s="188" t="s">
        <v>1051</v>
      </c>
      <c r="B19" s="188" t="s">
        <v>1054</v>
      </c>
      <c r="C19" s="188" t="s">
        <v>1065</v>
      </c>
      <c r="D19" s="189" t="s">
        <v>1093</v>
      </c>
      <c r="E19" s="189" t="s">
        <v>1142</v>
      </c>
      <c r="F19" s="189" t="s">
        <v>1191</v>
      </c>
      <c r="G19" s="189" t="s">
        <v>1240</v>
      </c>
      <c r="H19" s="189" t="s">
        <v>1288</v>
      </c>
      <c r="I19" s="189" t="s">
        <v>1336</v>
      </c>
      <c r="J19" s="189" t="s">
        <v>1385</v>
      </c>
      <c r="K19" s="189" t="s">
        <v>1433</v>
      </c>
      <c r="L19" s="187" t="s">
        <v>1480</v>
      </c>
    </row>
    <row r="20" spans="1:12" ht="54">
      <c r="A20" s="188" t="s">
        <v>1052</v>
      </c>
      <c r="B20" s="188" t="s">
        <v>1003</v>
      </c>
      <c r="C20" s="188" t="str">
        <f t="shared" si="0"/>
        <v>施春正深</v>
      </c>
      <c r="D20" s="189" t="s">
        <v>1094</v>
      </c>
      <c r="E20" s="189" t="s">
        <v>1143</v>
      </c>
      <c r="F20" s="189" t="s">
        <v>1192</v>
      </c>
      <c r="G20" s="189" t="s">
        <v>1241</v>
      </c>
      <c r="H20" s="189" t="s">
        <v>1289</v>
      </c>
      <c r="I20" s="189" t="s">
        <v>1337</v>
      </c>
      <c r="J20" s="189" t="s">
        <v>1386</v>
      </c>
      <c r="K20" s="189" t="s">
        <v>1434</v>
      </c>
      <c r="L20" s="187" t="s">
        <v>1481</v>
      </c>
    </row>
    <row r="21" spans="1:12" ht="54">
      <c r="A21" s="188" t="s">
        <v>1034</v>
      </c>
      <c r="B21" s="188" t="s">
        <v>1054</v>
      </c>
      <c r="C21" s="188" t="str">
        <f t="shared" si="0"/>
        <v>楫难撑载</v>
      </c>
      <c r="D21" s="189" t="s">
        <v>1095</v>
      </c>
      <c r="E21" s="189" t="s">
        <v>1144</v>
      </c>
      <c r="F21" s="189" t="s">
        <v>1193</v>
      </c>
      <c r="G21" s="189" t="s">
        <v>1242</v>
      </c>
      <c r="H21" s="189" t="s">
        <v>1290</v>
      </c>
      <c r="I21" s="189" t="s">
        <v>1338</v>
      </c>
      <c r="J21" s="189" t="s">
        <v>1387</v>
      </c>
      <c r="K21" s="189" t="s">
        <v>1435</v>
      </c>
      <c r="L21" s="187" t="s">
        <v>1482</v>
      </c>
    </row>
    <row r="22" spans="1:12" ht="54">
      <c r="A22" s="188" t="s">
        <v>1033</v>
      </c>
      <c r="B22" s="188" t="s">
        <v>1003</v>
      </c>
      <c r="C22" s="188" t="str">
        <f t="shared" si="0"/>
        <v>鹏海浪翻</v>
      </c>
      <c r="D22" s="189" t="s">
        <v>1096</v>
      </c>
      <c r="E22" s="189" t="s">
        <v>1145</v>
      </c>
      <c r="F22" s="189" t="s">
        <v>1194</v>
      </c>
      <c r="G22" s="189" t="s">
        <v>1243</v>
      </c>
      <c r="H22" s="189" t="s">
        <v>1291</v>
      </c>
      <c r="I22" s="189" t="s">
        <v>1339</v>
      </c>
      <c r="J22" s="189" t="s">
        <v>1515</v>
      </c>
      <c r="K22" s="189" t="s">
        <v>1436</v>
      </c>
      <c r="L22" s="187" t="s">
        <v>1483</v>
      </c>
    </row>
    <row r="23" spans="1:12" ht="54">
      <c r="A23" s="188" t="s">
        <v>1032</v>
      </c>
      <c r="B23" s="188" t="s">
        <v>1062</v>
      </c>
      <c r="C23" s="189" t="s">
        <v>1066</v>
      </c>
      <c r="D23" s="189" t="s">
        <v>1097</v>
      </c>
      <c r="E23" s="189" t="s">
        <v>1146</v>
      </c>
      <c r="F23" s="189" t="s">
        <v>1195</v>
      </c>
      <c r="G23" s="189" t="s">
        <v>1244</v>
      </c>
      <c r="H23" s="189" t="s">
        <v>1292</v>
      </c>
      <c r="I23" s="189" t="s">
        <v>1340</v>
      </c>
      <c r="J23" s="189" t="s">
        <v>1388</v>
      </c>
      <c r="K23" s="189" t="s">
        <v>1437</v>
      </c>
      <c r="L23" s="187" t="s">
        <v>1484</v>
      </c>
    </row>
    <row r="24" spans="1:12" ht="54">
      <c r="A24" s="188" t="s">
        <v>1031</v>
      </c>
      <c r="B24" s="188" t="s">
        <v>1054</v>
      </c>
      <c r="C24" s="188" t="s">
        <v>1067</v>
      </c>
      <c r="D24" s="189" t="s">
        <v>1098</v>
      </c>
      <c r="E24" s="189" t="s">
        <v>1147</v>
      </c>
      <c r="F24" s="189" t="s">
        <v>1196</v>
      </c>
      <c r="G24" s="189" t="s">
        <v>1245</v>
      </c>
      <c r="H24" s="189" t="s">
        <v>1293</v>
      </c>
      <c r="I24" s="189" t="s">
        <v>1341</v>
      </c>
      <c r="J24" s="189" t="s">
        <v>1389</v>
      </c>
      <c r="K24" s="189" t="s">
        <v>1438</v>
      </c>
      <c r="L24" s="187" t="s">
        <v>1485</v>
      </c>
    </row>
    <row r="25" spans="1:12" ht="54">
      <c r="A25" s="188" t="s">
        <v>1030</v>
      </c>
      <c r="B25" s="188" t="s">
        <v>1003</v>
      </c>
      <c r="C25" s="188" t="str">
        <f t="shared" si="0"/>
        <v>空处处辉</v>
      </c>
      <c r="D25" s="189" t="s">
        <v>1099</v>
      </c>
      <c r="E25" s="189" t="s">
        <v>1148</v>
      </c>
      <c r="F25" s="189" t="s">
        <v>1197</v>
      </c>
      <c r="G25" s="189" t="s">
        <v>1246</v>
      </c>
      <c r="H25" s="189" t="s">
        <v>1294</v>
      </c>
      <c r="I25" s="189" t="s">
        <v>1342</v>
      </c>
      <c r="J25" s="189" t="s">
        <v>1390</v>
      </c>
      <c r="K25" s="189" t="s">
        <v>1439</v>
      </c>
      <c r="L25" s="187" t="s">
        <v>1486</v>
      </c>
    </row>
    <row r="26" spans="1:12" ht="54">
      <c r="A26" s="188" t="s">
        <v>1029</v>
      </c>
      <c r="B26" s="188" t="s">
        <v>1068</v>
      </c>
      <c r="C26" s="188" t="str">
        <f t="shared" si="0"/>
        <v>遂如君意</v>
      </c>
      <c r="D26" s="189" t="s">
        <v>1100</v>
      </c>
      <c r="E26" s="189" t="s">
        <v>1149</v>
      </c>
      <c r="F26" s="189" t="s">
        <v>1198</v>
      </c>
      <c r="G26" s="189" t="s">
        <v>1247</v>
      </c>
      <c r="H26" s="189" t="s">
        <v>1295</v>
      </c>
      <c r="I26" s="189" t="s">
        <v>1343</v>
      </c>
      <c r="J26" s="189" t="s">
        <v>1391</v>
      </c>
      <c r="K26" s="189" t="s">
        <v>1440</v>
      </c>
      <c r="L26" s="187" t="s">
        <v>1487</v>
      </c>
    </row>
    <row r="27" spans="1:12" ht="54">
      <c r="A27" s="188" t="s">
        <v>1028</v>
      </c>
      <c r="B27" s="188" t="s">
        <v>1003</v>
      </c>
      <c r="C27" s="188" t="str">
        <f t="shared" si="0"/>
        <v>旺进钱财</v>
      </c>
      <c r="D27" s="189" t="s">
        <v>1101</v>
      </c>
      <c r="E27" s="189" t="s">
        <v>1150</v>
      </c>
      <c r="F27" s="189" t="s">
        <v>1199</v>
      </c>
      <c r="G27" s="189" t="s">
        <v>1248</v>
      </c>
      <c r="H27" s="189" t="s">
        <v>1296</v>
      </c>
      <c r="I27" s="189" t="s">
        <v>1344</v>
      </c>
      <c r="J27" s="189" t="s">
        <v>1392</v>
      </c>
      <c r="K27" s="189" t="s">
        <v>1441</v>
      </c>
      <c r="L27" s="187" t="s">
        <v>1488</v>
      </c>
    </row>
    <row r="28" spans="1:12" ht="54">
      <c r="A28" s="188" t="s">
        <v>1027</v>
      </c>
      <c r="B28" s="188" t="s">
        <v>1054</v>
      </c>
      <c r="C28" s="188" t="str">
        <f t="shared" si="0"/>
        <v>惶主不盒</v>
      </c>
      <c r="D28" s="189" t="s">
        <v>1102</v>
      </c>
      <c r="E28" s="189" t="s">
        <v>1151</v>
      </c>
      <c r="F28" s="189" t="s">
        <v>1200</v>
      </c>
      <c r="G28" s="189" t="s">
        <v>1249</v>
      </c>
      <c r="H28" s="189" t="s">
        <v>1297</v>
      </c>
      <c r="I28" s="189" t="s">
        <v>1345</v>
      </c>
      <c r="J28" s="189" t="s">
        <v>1393</v>
      </c>
      <c r="K28" s="189" t="s">
        <v>1442</v>
      </c>
      <c r="L28" s="187" t="s">
        <v>1489</v>
      </c>
    </row>
    <row r="29" spans="1:12" ht="54">
      <c r="A29" s="188" t="s">
        <v>1026</v>
      </c>
      <c r="B29" s="188" t="s">
        <v>1062</v>
      </c>
      <c r="C29" s="188" t="str">
        <f t="shared" si="0"/>
        <v>引喜更新</v>
      </c>
      <c r="D29" s="189" t="s">
        <v>1103</v>
      </c>
      <c r="E29" s="189" t="s">
        <v>1152</v>
      </c>
      <c r="F29" s="189" t="s">
        <v>1201</v>
      </c>
      <c r="G29" s="189" t="s">
        <v>1250</v>
      </c>
      <c r="H29" s="189" t="s">
        <v>1298</v>
      </c>
      <c r="I29" s="189" t="s">
        <v>1346</v>
      </c>
      <c r="J29" s="189" t="s">
        <v>1394</v>
      </c>
      <c r="K29" s="189" t="s">
        <v>1443</v>
      </c>
      <c r="L29" s="187" t="s">
        <v>1490</v>
      </c>
    </row>
    <row r="30" spans="1:12" ht="54">
      <c r="A30" s="188" t="s">
        <v>1025</v>
      </c>
      <c r="B30" s="188" t="s">
        <v>1003</v>
      </c>
      <c r="C30" s="188" t="str">
        <f t="shared" si="0"/>
        <v>合事亨通</v>
      </c>
      <c r="D30" s="189" t="s">
        <v>1104</v>
      </c>
      <c r="E30" s="189" t="s">
        <v>1153</v>
      </c>
      <c r="F30" s="189" t="s">
        <v>1202</v>
      </c>
      <c r="G30" s="189" t="s">
        <v>1251</v>
      </c>
      <c r="H30" s="189" t="s">
        <v>1299</v>
      </c>
      <c r="I30" s="189" t="s">
        <v>1347</v>
      </c>
      <c r="J30" s="189" t="s">
        <v>1395</v>
      </c>
      <c r="K30" s="189" t="s">
        <v>1444</v>
      </c>
      <c r="L30" s="187" t="s">
        <v>1491</v>
      </c>
    </row>
    <row r="31" spans="1:12" ht="54">
      <c r="A31" s="188" t="s">
        <v>1024</v>
      </c>
      <c r="B31" s="188" t="s">
        <v>1054</v>
      </c>
      <c r="C31" s="188" t="s">
        <v>1069</v>
      </c>
      <c r="D31" s="189" t="s">
        <v>1105</v>
      </c>
      <c r="E31" s="189" t="s">
        <v>1154</v>
      </c>
      <c r="F31" s="189" t="s">
        <v>1203</v>
      </c>
      <c r="G31" s="189" t="s">
        <v>1252</v>
      </c>
      <c r="H31" s="189" t="s">
        <v>1300</v>
      </c>
      <c r="I31" s="189" t="s">
        <v>1348</v>
      </c>
      <c r="J31" s="189" t="s">
        <v>1396</v>
      </c>
      <c r="K31" s="189" t="s">
        <v>1445</v>
      </c>
      <c r="L31" s="187" t="s">
        <v>1492</v>
      </c>
    </row>
    <row r="32" spans="1:12" ht="54">
      <c r="A32" s="188" t="s">
        <v>1023</v>
      </c>
      <c r="B32" s="188" t="s">
        <v>1058</v>
      </c>
      <c r="C32" s="188" t="str">
        <f t="shared" si="0"/>
        <v>冲常不一</v>
      </c>
      <c r="D32" s="189" t="s">
        <v>1106</v>
      </c>
      <c r="E32" s="189" t="s">
        <v>1155</v>
      </c>
      <c r="F32" s="189" t="s">
        <v>1204</v>
      </c>
      <c r="G32" s="189" t="s">
        <v>1253</v>
      </c>
      <c r="H32" s="189" t="s">
        <v>1301</v>
      </c>
      <c r="I32" s="189" t="s">
        <v>1349</v>
      </c>
      <c r="J32" s="189" t="s">
        <v>1397</v>
      </c>
      <c r="K32" s="189" t="s">
        <v>1446</v>
      </c>
      <c r="L32" s="187" t="s">
        <v>1493</v>
      </c>
    </row>
    <row r="33" spans="1:13" ht="54">
      <c r="A33" s="188" t="s">
        <v>1022</v>
      </c>
      <c r="B33" s="188" t="s">
        <v>1054</v>
      </c>
      <c r="C33" s="188" t="str">
        <f t="shared" si="0"/>
        <v>月事须防</v>
      </c>
      <c r="D33" s="189" t="s">
        <v>1107</v>
      </c>
      <c r="E33" s="189" t="s">
        <v>1156</v>
      </c>
      <c r="F33" s="189" t="s">
        <v>1205</v>
      </c>
      <c r="G33" s="189" t="s">
        <v>1254</v>
      </c>
      <c r="H33" s="189" t="s">
        <v>1302</v>
      </c>
      <c r="I33" s="189" t="s">
        <v>1350</v>
      </c>
      <c r="J33" s="189" t="s">
        <v>1398</v>
      </c>
      <c r="K33" s="189" t="s">
        <v>1447</v>
      </c>
      <c r="L33" s="187" t="s">
        <v>1494</v>
      </c>
    </row>
    <row r="34" spans="1:13" ht="54">
      <c r="A34" s="188" t="s">
        <v>1021</v>
      </c>
      <c r="B34" s="188" t="s">
        <v>1003</v>
      </c>
      <c r="C34" s="188" t="s">
        <v>1070</v>
      </c>
      <c r="D34" s="189" t="s">
        <v>1108</v>
      </c>
      <c r="E34" s="189" t="s">
        <v>1157</v>
      </c>
      <c r="F34" s="189" t="s">
        <v>1206</v>
      </c>
      <c r="G34" s="189" t="s">
        <v>1255</v>
      </c>
      <c r="H34" s="189" t="s">
        <v>1303</v>
      </c>
      <c r="I34" s="189" t="s">
        <v>1351</v>
      </c>
      <c r="J34" s="189" t="s">
        <v>1399</v>
      </c>
      <c r="K34" s="189" t="s">
        <v>1448</v>
      </c>
      <c r="L34" s="187" t="s">
        <v>1495</v>
      </c>
    </row>
    <row r="35" spans="1:13" ht="54">
      <c r="A35" s="188" t="s">
        <v>1020</v>
      </c>
      <c r="B35" s="188" t="s">
        <v>1054</v>
      </c>
      <c r="C35" s="188" t="str">
        <f t="shared" si="0"/>
        <v>雨怕虹霓</v>
      </c>
      <c r="D35" s="189" t="s">
        <v>1109</v>
      </c>
      <c r="E35" s="189" t="s">
        <v>1158</v>
      </c>
      <c r="F35" s="189" t="s">
        <v>1207</v>
      </c>
      <c r="G35" s="189" t="s">
        <v>1256</v>
      </c>
      <c r="H35" s="189" t="s">
        <v>1304</v>
      </c>
      <c r="I35" s="189" t="s">
        <v>1352</v>
      </c>
      <c r="J35" s="189" t="s">
        <v>1400</v>
      </c>
      <c r="K35" s="189" t="s">
        <v>1449</v>
      </c>
      <c r="L35" s="187" t="s">
        <v>1496</v>
      </c>
    </row>
    <row r="36" spans="1:13" ht="54">
      <c r="A36" s="188" t="s">
        <v>1019</v>
      </c>
      <c r="B36" s="188" t="s">
        <v>1003</v>
      </c>
      <c r="C36" s="189" t="s">
        <v>1071</v>
      </c>
      <c r="D36" s="189" t="s">
        <v>1110</v>
      </c>
      <c r="E36" s="189" t="s">
        <v>1159</v>
      </c>
      <c r="F36" s="189" t="s">
        <v>1208</v>
      </c>
      <c r="G36" s="189" t="s">
        <v>1257</v>
      </c>
      <c r="H36" s="189" t="s">
        <v>1305</v>
      </c>
      <c r="I36" s="189" t="s">
        <v>1353</v>
      </c>
      <c r="J36" s="189" t="s">
        <v>1401</v>
      </c>
      <c r="K36" s="189" t="s">
        <v>1450</v>
      </c>
      <c r="L36" s="187" t="s">
        <v>1497</v>
      </c>
    </row>
    <row r="37" spans="1:13" ht="54">
      <c r="A37" s="188" t="s">
        <v>1018</v>
      </c>
      <c r="B37" s="188" t="s">
        <v>1062</v>
      </c>
      <c r="C37" s="188" t="str">
        <f t="shared" si="0"/>
        <v>浪当三月</v>
      </c>
      <c r="D37" s="189" t="s">
        <v>1111</v>
      </c>
      <c r="E37" s="189" t="s">
        <v>1160</v>
      </c>
      <c r="F37" s="189" t="s">
        <v>1209</v>
      </c>
      <c r="G37" s="189" t="s">
        <v>1258</v>
      </c>
      <c r="H37" s="189" t="s">
        <v>1306</v>
      </c>
      <c r="I37" s="189" t="s">
        <v>1354</v>
      </c>
      <c r="J37" s="189" t="s">
        <v>1402</v>
      </c>
      <c r="K37" s="189" t="s">
        <v>1451</v>
      </c>
      <c r="L37" s="187" t="s">
        <v>1498</v>
      </c>
    </row>
    <row r="38" spans="1:13" ht="54">
      <c r="A38" s="188" t="s">
        <v>1017</v>
      </c>
      <c r="B38" s="188" t="s">
        <v>1054</v>
      </c>
      <c r="C38" s="188" t="s">
        <v>1072</v>
      </c>
      <c r="D38" s="189" t="s">
        <v>1112</v>
      </c>
      <c r="E38" s="189" t="s">
        <v>1161</v>
      </c>
      <c r="F38" s="189" t="s">
        <v>1210</v>
      </c>
      <c r="G38" s="189" t="s">
        <v>1259</v>
      </c>
      <c r="H38" s="189" t="s">
        <v>1307</v>
      </c>
      <c r="I38" s="189" t="s">
        <v>1355</v>
      </c>
      <c r="J38" s="189" t="s">
        <v>1403</v>
      </c>
      <c r="K38" s="189" t="s">
        <v>1452</v>
      </c>
      <c r="L38" s="187" t="s">
        <v>1499</v>
      </c>
    </row>
    <row r="39" spans="1:13" ht="54">
      <c r="A39" s="188" t="s">
        <v>1016</v>
      </c>
      <c r="B39" s="188" t="s">
        <v>1003</v>
      </c>
      <c r="C39" s="188" t="str">
        <f t="shared" si="0"/>
        <v>天照万方</v>
      </c>
      <c r="D39" s="189" t="s">
        <v>1113</v>
      </c>
      <c r="E39" s="189" t="s">
        <v>1162</v>
      </c>
      <c r="F39" s="189" t="s">
        <v>1211</v>
      </c>
      <c r="G39" s="189" t="s">
        <v>1260</v>
      </c>
      <c r="H39" s="189" t="s">
        <v>1308</v>
      </c>
      <c r="I39" s="189" t="s">
        <v>1356</v>
      </c>
      <c r="J39" s="189" t="s">
        <v>1404</v>
      </c>
      <c r="K39" s="189" t="s">
        <v>1453</v>
      </c>
      <c r="L39" s="187" t="s">
        <v>1500</v>
      </c>
    </row>
    <row r="40" spans="1:13" ht="54">
      <c r="A40" s="188" t="s">
        <v>1015</v>
      </c>
      <c r="B40" s="188" t="s">
        <v>1054</v>
      </c>
      <c r="C40" s="188" t="str">
        <f t="shared" si="0"/>
        <v>山去路迷</v>
      </c>
      <c r="D40" s="189" t="s">
        <v>1114</v>
      </c>
      <c r="E40" s="189" t="s">
        <v>1163</v>
      </c>
      <c r="F40" s="189" t="s">
        <v>1212</v>
      </c>
      <c r="G40" s="189" t="s">
        <v>1516</v>
      </c>
      <c r="H40" s="189" t="s">
        <v>1309</v>
      </c>
      <c r="I40" s="189" t="s">
        <v>1357</v>
      </c>
      <c r="J40" s="189" t="s">
        <v>1405</v>
      </c>
      <c r="K40" s="189" t="s">
        <v>1454</v>
      </c>
      <c r="L40" s="187" t="s">
        <v>1501</v>
      </c>
    </row>
    <row r="41" spans="1:13" ht="54">
      <c r="A41" s="188" t="s">
        <v>1014</v>
      </c>
      <c r="B41" s="188" t="s">
        <v>1003</v>
      </c>
      <c r="C41" s="188" t="str">
        <f t="shared" si="0"/>
        <v>天势自然</v>
      </c>
      <c r="D41" s="189" t="s">
        <v>1115</v>
      </c>
      <c r="E41" s="189" t="s">
        <v>1164</v>
      </c>
      <c r="F41" s="189" t="s">
        <v>1213</v>
      </c>
      <c r="G41" s="189" t="s">
        <v>1261</v>
      </c>
      <c r="H41" s="189" t="s">
        <v>1310</v>
      </c>
      <c r="I41" s="189" t="s">
        <v>1358</v>
      </c>
      <c r="J41" s="189" t="s">
        <v>1406</v>
      </c>
      <c r="K41" s="189" t="s">
        <v>1455</v>
      </c>
      <c r="L41" s="187" t="s">
        <v>1502</v>
      </c>
    </row>
    <row r="42" spans="1:13" ht="54">
      <c r="A42" s="188" t="s">
        <v>1013</v>
      </c>
      <c r="B42" s="188" t="s">
        <v>1054</v>
      </c>
      <c r="C42" s="188" t="str">
        <f t="shared" si="0"/>
        <v>水两无情</v>
      </c>
      <c r="D42" s="189" t="s">
        <v>1116</v>
      </c>
      <c r="E42" s="189" t="s">
        <v>1165</v>
      </c>
      <c r="F42" s="189" t="s">
        <v>1214</v>
      </c>
      <c r="G42" s="189" t="s">
        <v>1262</v>
      </c>
      <c r="H42" s="189" t="s">
        <v>1311</v>
      </c>
      <c r="I42" s="189" t="s">
        <v>1359</v>
      </c>
      <c r="J42" s="189" t="s">
        <v>1407</v>
      </c>
      <c r="K42" s="189" t="s">
        <v>1456</v>
      </c>
      <c r="L42" s="187" t="s">
        <v>1503</v>
      </c>
    </row>
    <row r="43" spans="1:13" ht="54">
      <c r="A43" s="188" t="s">
        <v>1012</v>
      </c>
      <c r="B43" s="188" t="s">
        <v>1003</v>
      </c>
      <c r="C43" s="188" t="str">
        <f t="shared" si="0"/>
        <v>水出波问</v>
      </c>
      <c r="D43" s="189" t="s">
        <v>1117</v>
      </c>
      <c r="E43" s="189" t="s">
        <v>1166</v>
      </c>
      <c r="F43" s="189" t="s">
        <v>1215</v>
      </c>
      <c r="G43" s="189" t="s">
        <v>1263</v>
      </c>
      <c r="H43" s="189" t="s">
        <v>1312</v>
      </c>
      <c r="I43" s="189" t="s">
        <v>1360</v>
      </c>
      <c r="J43" s="189" t="s">
        <v>1408</v>
      </c>
      <c r="K43" s="189" t="s">
        <v>1457</v>
      </c>
      <c r="L43" s="187" t="s">
        <v>1504</v>
      </c>
      <c r="M43" s="186" t="s">
        <v>1073</v>
      </c>
    </row>
    <row r="44" spans="1:13" ht="54">
      <c r="A44" s="188" t="s">
        <v>1011</v>
      </c>
      <c r="B44" s="188" t="s">
        <v>1074</v>
      </c>
      <c r="C44" s="188" t="str">
        <f t="shared" si="0"/>
        <v>桑万里明</v>
      </c>
      <c r="D44" s="189" t="s">
        <v>1118</v>
      </c>
      <c r="E44" s="189" t="s">
        <v>1167</v>
      </c>
      <c r="F44" s="189" t="s">
        <v>1216</v>
      </c>
      <c r="G44" s="189" t="s">
        <v>1264</v>
      </c>
      <c r="H44" s="189" t="s">
        <v>1313</v>
      </c>
      <c r="I44" s="189" t="s">
        <v>1361</v>
      </c>
      <c r="J44" s="189" t="s">
        <v>1409</v>
      </c>
      <c r="K44" s="189" t="s">
        <v>1458</v>
      </c>
      <c r="L44" s="187" t="s">
        <v>1505</v>
      </c>
      <c r="M44" s="186" t="s">
        <v>1075</v>
      </c>
    </row>
    <row r="45" spans="1:13" ht="54">
      <c r="A45" s="188" t="s">
        <v>1010</v>
      </c>
      <c r="B45" s="188" t="s">
        <v>1053</v>
      </c>
      <c r="C45" s="188" t="str">
        <f t="shared" si="0"/>
        <v>月恰朦胧</v>
      </c>
      <c r="D45" s="189" t="s">
        <v>1119</v>
      </c>
      <c r="E45" s="189" t="s">
        <v>1168</v>
      </c>
      <c r="F45" s="189" t="s">
        <v>1217</v>
      </c>
      <c r="G45" s="189" t="s">
        <v>1265</v>
      </c>
      <c r="H45" s="189" t="s">
        <v>1314</v>
      </c>
      <c r="I45" s="189" t="s">
        <v>1362</v>
      </c>
      <c r="J45" s="189" t="s">
        <v>1410</v>
      </c>
      <c r="K45" s="189" t="s">
        <v>1459</v>
      </c>
      <c r="L45" s="187" t="s">
        <v>1506</v>
      </c>
    </row>
    <row r="46" spans="1:13" ht="54">
      <c r="A46" s="188" t="s">
        <v>1009</v>
      </c>
      <c r="B46" s="188" t="s">
        <v>1058</v>
      </c>
      <c r="C46" s="188" t="str">
        <f t="shared" si="0"/>
        <v>舞播乾坤</v>
      </c>
      <c r="D46" s="189" t="s">
        <v>1120</v>
      </c>
      <c r="E46" s="189" t="s">
        <v>1169</v>
      </c>
      <c r="F46" s="189" t="s">
        <v>1218</v>
      </c>
      <c r="G46" s="189" t="s">
        <v>1266</v>
      </c>
      <c r="H46" s="189" t="s">
        <v>1315</v>
      </c>
      <c r="I46" s="189" t="s">
        <v>1363</v>
      </c>
      <c r="J46" s="189" t="s">
        <v>1411</v>
      </c>
      <c r="K46" s="189" t="s">
        <v>1460</v>
      </c>
      <c r="L46" s="187" t="s">
        <v>1507</v>
      </c>
    </row>
    <row r="47" spans="1:13" ht="54">
      <c r="A47" s="188" t="s">
        <v>1008</v>
      </c>
      <c r="B47" s="188" t="s">
        <v>1054</v>
      </c>
      <c r="C47" s="188" t="str">
        <f t="shared" si="0"/>
        <v>梦主忧疑</v>
      </c>
      <c r="D47" s="189" t="s">
        <v>1121</v>
      </c>
      <c r="E47" s="189" t="s">
        <v>1170</v>
      </c>
      <c r="F47" s="189" t="s">
        <v>1219</v>
      </c>
      <c r="G47" s="189" t="s">
        <v>1267</v>
      </c>
      <c r="H47" s="189" t="s">
        <v>1316</v>
      </c>
      <c r="I47" s="189" t="s">
        <v>1364</v>
      </c>
      <c r="J47" s="189" t="s">
        <v>1412</v>
      </c>
      <c r="K47" s="189" t="s">
        <v>1461</v>
      </c>
      <c r="L47" s="187" t="s">
        <v>1508</v>
      </c>
    </row>
    <row r="48" spans="1:13" ht="54">
      <c r="A48" s="188" t="s">
        <v>1007</v>
      </c>
      <c r="B48" s="188" t="s">
        <v>1058</v>
      </c>
      <c r="C48" s="188" t="str">
        <f t="shared" si="0"/>
        <v>雨尚蒙苍</v>
      </c>
      <c r="D48" s="189" t="s">
        <v>1122</v>
      </c>
      <c r="E48" s="189" t="s">
        <v>1171</v>
      </c>
      <c r="F48" s="189" t="s">
        <v>1220</v>
      </c>
      <c r="G48" s="189" t="s">
        <v>1268</v>
      </c>
      <c r="H48" s="189" t="s">
        <v>1317</v>
      </c>
      <c r="I48" s="189" t="s">
        <v>1365</v>
      </c>
      <c r="J48" s="189" t="s">
        <v>1413</v>
      </c>
      <c r="K48" s="189" t="s">
        <v>1462</v>
      </c>
      <c r="L48" s="187" t="s">
        <v>1509</v>
      </c>
    </row>
    <row r="49" spans="1:12" ht="54">
      <c r="A49" s="188" t="s">
        <v>1006</v>
      </c>
      <c r="B49" s="188" t="s">
        <v>1003</v>
      </c>
      <c r="C49" s="188" t="str">
        <f t="shared" si="0"/>
        <v>磨益见光</v>
      </c>
      <c r="D49" s="189" t="s">
        <v>1123</v>
      </c>
      <c r="E49" s="189" t="s">
        <v>1172</v>
      </c>
      <c r="F49" s="189" t="s">
        <v>1221</v>
      </c>
      <c r="G49" s="189" t="s">
        <v>1269</v>
      </c>
      <c r="H49" s="189" t="s">
        <v>1318</v>
      </c>
      <c r="I49" s="189" t="s">
        <v>1366</v>
      </c>
      <c r="J49" s="189" t="s">
        <v>1414</v>
      </c>
      <c r="K49" s="189" t="s">
        <v>1463</v>
      </c>
      <c r="L49" s="187" t="s">
        <v>1510</v>
      </c>
    </row>
    <row r="50" spans="1:12" ht="54">
      <c r="A50" s="188" t="s">
        <v>1005</v>
      </c>
      <c r="B50" s="188" t="s">
        <v>1054</v>
      </c>
      <c r="C50" s="188" t="str">
        <f t="shared" si="0"/>
        <v>噪未为奇</v>
      </c>
      <c r="D50" s="189" t="s">
        <v>1124</v>
      </c>
      <c r="E50" s="189" t="s">
        <v>1173</v>
      </c>
      <c r="F50" s="189" t="s">
        <v>1222</v>
      </c>
      <c r="G50" s="189" t="s">
        <v>1270</v>
      </c>
      <c r="H50" s="189" t="s">
        <v>1319</v>
      </c>
      <c r="I50" s="189" t="s">
        <v>1367</v>
      </c>
      <c r="J50" s="189" t="s">
        <v>1415</v>
      </c>
      <c r="K50" s="189" t="s">
        <v>1464</v>
      </c>
      <c r="L50" s="187" t="s">
        <v>1511</v>
      </c>
    </row>
  </sheetData>
  <mergeCells count="1">
    <mergeCell ref="S5:Y5"/>
  </mergeCells>
  <phoneticPr fontId="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清除抽签">
                <anchor moveWithCells="1" sizeWithCells="1">
                  <from>
                    <xdr:col>13</xdr:col>
                    <xdr:colOff>127000</xdr:colOff>
                    <xdr:row>4</xdr:row>
                    <xdr:rowOff>88900</xdr:rowOff>
                  </from>
                  <to>
                    <xdr:col>15</xdr:col>
                    <xdr:colOff>330200</xdr:colOff>
                    <xdr:row>4</xdr:row>
                    <xdr:rowOff>393700</xdr:rowOff>
                  </to>
                </anchor>
              </controlPr>
            </control>
          </mc:Choice>
        </mc:AlternateContent>
        <mc:AlternateContent xmlns:mc="http://schemas.openxmlformats.org/markup-compatibility/2006">
          <mc:Choice Requires="x14">
            <control shapeId="16386" r:id="rId4" name="Button 2">
              <controlPr defaultSize="0" print="0" autoFill="0" autoPict="0" macro="[0]!抽签开始">
                <anchor moveWithCells="1" sizeWithCells="1">
                  <from>
                    <xdr:col>13</xdr:col>
                    <xdr:colOff>152400</xdr:colOff>
                    <xdr:row>2</xdr:row>
                    <xdr:rowOff>228600</xdr:rowOff>
                  </from>
                  <to>
                    <xdr:col>15</xdr:col>
                    <xdr:colOff>539750</xdr:colOff>
                    <xdr:row>2</xdr:row>
                    <xdr:rowOff>590550</xdr:rowOff>
                  </to>
                </anchor>
              </controlPr>
            </control>
          </mc:Choice>
        </mc:AlternateContent>
        <mc:AlternateContent xmlns:mc="http://schemas.openxmlformats.org/markup-compatibility/2006">
          <mc:Choice Requires="x14">
            <control shapeId="16387" r:id="rId5" name="Button 3">
              <controlPr defaultSize="0" print="0" autoFill="0" autoPict="0" macro="[0]!抽签停止">
                <anchor moveWithCells="1" sizeWithCells="1">
                  <from>
                    <xdr:col>13</xdr:col>
                    <xdr:colOff>120650</xdr:colOff>
                    <xdr:row>3</xdr:row>
                    <xdr:rowOff>127000</xdr:rowOff>
                  </from>
                  <to>
                    <xdr:col>15</xdr:col>
                    <xdr:colOff>539750</xdr:colOff>
                    <xdr:row>3</xdr:row>
                    <xdr:rowOff>539750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21C4FA-E8C1-444A-8FD4-7DD71C4BACEB}">
  <sheetPr codeName="Sheet7"/>
  <dimension ref="A1:U175"/>
  <sheetViews>
    <sheetView workbookViewId="0">
      <selection activeCell="H13" sqref="H13"/>
    </sheetView>
  </sheetViews>
  <sheetFormatPr defaultRowHeight="14"/>
  <cols>
    <col min="1" max="1" width="8.6640625" customWidth="1"/>
    <col min="2" max="2" width="5.4140625" customWidth="1"/>
    <col min="3" max="3" width="5.33203125" customWidth="1"/>
    <col min="4" max="4" width="5.6640625" customWidth="1"/>
    <col min="5" max="6" width="8.6640625" customWidth="1"/>
    <col min="7" max="7" width="15.33203125" bestFit="1" customWidth="1"/>
    <col min="11" max="11" width="8.6640625" customWidth="1"/>
    <col min="12" max="12" width="6" customWidth="1"/>
    <col min="13" max="13" width="11.83203125" hidden="1" customWidth="1"/>
    <col min="14" max="15" width="8.6640625" style="38" hidden="1" customWidth="1"/>
    <col min="16" max="16" width="15.1640625" customWidth="1"/>
    <col min="17" max="17" width="51.08203125" customWidth="1"/>
  </cols>
  <sheetData>
    <row r="1" spans="1:21" ht="14.5" thickBot="1">
      <c r="H1" t="s">
        <v>201</v>
      </c>
      <c r="I1" t="s">
        <v>202</v>
      </c>
      <c r="J1" t="s">
        <v>278</v>
      </c>
    </row>
    <row r="2" spans="1:21">
      <c r="A2" s="170"/>
      <c r="B2" t="s">
        <v>201</v>
      </c>
      <c r="C2" t="s">
        <v>202</v>
      </c>
      <c r="D2" t="s">
        <v>278</v>
      </c>
      <c r="G2" s="89"/>
      <c r="H2" s="87" t="e">
        <f>INDEX(B3:B6, MATCH(G2, A3:A6, 0))</f>
        <v>#N/A</v>
      </c>
      <c r="I2" s="87" t="e">
        <f>INDEX(C3:C6, MATCH(G2, A3:A6, 0))</f>
        <v>#N/A</v>
      </c>
      <c r="J2" s="87" t="e">
        <f>INDEX(D3:D6, MATCH(G2, A3:A6, 0))</f>
        <v>#N/A</v>
      </c>
      <c r="K2" s="88" t="s">
        <v>195</v>
      </c>
      <c r="L2" s="256" t="s">
        <v>907</v>
      </c>
      <c r="M2" s="65" t="e">
        <f>H7&amp;""&amp;H6&amp;""&amp;H5</f>
        <v>#N/A</v>
      </c>
      <c r="N2" s="40" t="e">
        <f>INDEX(A10:A73, MATCH(M2, B10:B73, 0))&amp;""&amp;INDEX(E10:E73, MATCH(M2, B10:B73, 0))</f>
        <v>#N/A</v>
      </c>
      <c r="O2" s="37" t="e">
        <f>INDEX(F10:F73, MATCH(M2, B10:B73, 0))</f>
        <v>#N/A</v>
      </c>
      <c r="P2" s="246" t="e">
        <f>INDEX(A76:A154, MATCH(O2&amp;""&amp;O3&amp;""&amp;"*", A76:A154, 0))</f>
        <v>#N/A</v>
      </c>
      <c r="Q2" s="90" t="s">
        <v>279</v>
      </c>
      <c r="S2" s="5" t="s">
        <v>214</v>
      </c>
      <c r="T2" s="5" t="s">
        <v>215</v>
      </c>
      <c r="U2" s="5" t="s">
        <v>216</v>
      </c>
    </row>
    <row r="3" spans="1:21" ht="14.5" thickBot="1">
      <c r="A3" s="6" t="s">
        <v>155</v>
      </c>
      <c r="B3" s="6" t="s">
        <v>222</v>
      </c>
      <c r="C3" s="6" t="s">
        <v>160</v>
      </c>
      <c r="D3" s="6" t="s">
        <v>160</v>
      </c>
      <c r="G3" s="89"/>
      <c r="H3" s="87" t="e">
        <f>INDEX(B3:B6, MATCH(G3, A3:A6, 0))</f>
        <v>#N/A</v>
      </c>
      <c r="I3" s="87" t="e">
        <f>INDEX(C3:C6, MATCH(G3, A3:A6, 0))</f>
        <v>#N/A</v>
      </c>
      <c r="J3" s="87" t="e">
        <f>INDEX(D3:D6, MATCH(G3, A3:A6, 0))</f>
        <v>#N/A</v>
      </c>
      <c r="K3" s="88" t="s">
        <v>196</v>
      </c>
      <c r="L3" s="257"/>
      <c r="M3" s="66" t="e">
        <f>H4&amp;""&amp;H3&amp;""&amp;H2</f>
        <v>#N/A</v>
      </c>
      <c r="N3" s="42" t="e">
        <f>INDEX(A10:A73, MATCH(M3, B10:B73, 0))&amp;""&amp;INDEX(E10:E73, MATCH(M3, B10:B73, 0))</f>
        <v>#N/A</v>
      </c>
      <c r="O3" s="35" t="e">
        <f>INDEX(F10:F73, MATCH(M3, B10:B73, 0))</f>
        <v>#N/A</v>
      </c>
      <c r="P3" s="247"/>
      <c r="Q3" s="60" t="e">
        <f>INDEX(C76:C154, MATCH(P2, A76:A154, 0))</f>
        <v>#N/A</v>
      </c>
      <c r="S3" s="5" t="s">
        <v>217</v>
      </c>
      <c r="T3" s="5"/>
      <c r="U3" s="5" t="s">
        <v>221</v>
      </c>
    </row>
    <row r="4" spans="1:21" ht="14.5" thickBot="1">
      <c r="A4" s="6" t="s">
        <v>156</v>
      </c>
      <c r="B4" s="6" t="s">
        <v>159</v>
      </c>
      <c r="C4" s="6" t="s">
        <v>159</v>
      </c>
      <c r="D4" s="6" t="s">
        <v>160</v>
      </c>
      <c r="G4" s="89"/>
      <c r="H4" s="87" t="e">
        <f>INDEX(B3:B6, MATCH(G4, A3:A6, 0))</f>
        <v>#N/A</v>
      </c>
      <c r="I4" s="87" t="e">
        <f>INDEX(C3:C6, MATCH(G4, A3:A6, 0))</f>
        <v>#N/A</v>
      </c>
      <c r="J4" s="87" t="e">
        <f>INDEX(D3:D6, MATCH(G4, A3:A6, 0))</f>
        <v>#N/A</v>
      </c>
      <c r="K4" s="88" t="s">
        <v>197</v>
      </c>
      <c r="S4" s="5" t="s">
        <v>218</v>
      </c>
      <c r="T4" s="5" t="s">
        <v>219</v>
      </c>
      <c r="U4" s="5" t="s">
        <v>220</v>
      </c>
    </row>
    <row r="5" spans="1:21">
      <c r="A5" s="6" t="s">
        <v>157</v>
      </c>
      <c r="B5" s="6" t="s">
        <v>160</v>
      </c>
      <c r="C5" s="6" t="s">
        <v>160</v>
      </c>
      <c r="D5" s="6" t="s">
        <v>159</v>
      </c>
      <c r="G5" s="89"/>
      <c r="H5" s="87" t="e">
        <f>INDEX(B3:B6, MATCH(G5, A3:A6, 0))</f>
        <v>#N/A</v>
      </c>
      <c r="I5" s="87" t="e">
        <f>INDEX(C3:C6, MATCH(G5, A3:A6, 0))</f>
        <v>#N/A</v>
      </c>
      <c r="J5" s="87" t="e">
        <f>INDEX(D3:D6, MATCH(G5, A3:A6, 0))</f>
        <v>#N/A</v>
      </c>
      <c r="K5" s="88" t="s">
        <v>198</v>
      </c>
      <c r="L5" s="258" t="s">
        <v>645</v>
      </c>
      <c r="M5" s="67" t="e">
        <f>I7&amp;""&amp;I6&amp;""&amp;I5</f>
        <v>#N/A</v>
      </c>
      <c r="N5" s="75" t="e">
        <f>INDEX(A10:A73, MATCH(M5, B10:B73, 0))&amp;""&amp;INDEX(E10:E73, MATCH(M5, B10:B73, 0))</f>
        <v>#N/A</v>
      </c>
      <c r="O5" s="76" t="e">
        <f>INDEX(F10:F73, MATCH(M5, B10:B73, 0))</f>
        <v>#N/A</v>
      </c>
      <c r="P5" s="248" t="e">
        <f>INDEX(A76:A154, MATCH(O5&amp;""&amp;O6&amp;""&amp;"*", A76:A154, 0))</f>
        <v>#N/A</v>
      </c>
      <c r="Q5" s="91" t="s">
        <v>280</v>
      </c>
    </row>
    <row r="6" spans="1:21" ht="14.5" thickBot="1">
      <c r="A6" s="6" t="s">
        <v>158</v>
      </c>
      <c r="B6" s="6" t="s">
        <v>223</v>
      </c>
      <c r="C6" s="6" t="s">
        <v>159</v>
      </c>
      <c r="D6" s="6" t="s">
        <v>159</v>
      </c>
      <c r="G6" s="89"/>
      <c r="H6" s="87" t="e">
        <f>INDEX(B3:B6, MATCH(G6, A3:A6, 0))</f>
        <v>#N/A</v>
      </c>
      <c r="I6" s="87" t="e">
        <f>INDEX(C3:C6, MATCH(G6, A3:A6, 0))</f>
        <v>#N/A</v>
      </c>
      <c r="J6" s="87" t="e">
        <f>INDEX(D3:D6, MATCH(G6, A3:A6, 0))</f>
        <v>#N/A</v>
      </c>
      <c r="K6" s="88" t="s">
        <v>199</v>
      </c>
      <c r="L6" s="259"/>
      <c r="M6" s="68" t="e">
        <f>I4&amp;""&amp;I3&amp;""&amp;I2</f>
        <v>#N/A</v>
      </c>
      <c r="N6" s="77" t="e">
        <f>INDEX(A10:A73, MATCH(M6, B10:B73, 0))&amp;""&amp;INDEX(E10:E73, MATCH(M6, B10:B73, 0))</f>
        <v>#N/A</v>
      </c>
      <c r="O6" s="78" t="e">
        <f>INDEX(F10:F73, MATCH(M6, B10:B73, 0))</f>
        <v>#N/A</v>
      </c>
      <c r="P6" s="249"/>
      <c r="Q6" s="61" t="e">
        <f>INDEX(C76:C154, MATCH(P5, A76:A154, 0))</f>
        <v>#N/A</v>
      </c>
      <c r="S6" t="s">
        <v>212</v>
      </c>
    </row>
    <row r="7" spans="1:21">
      <c r="G7" s="89"/>
      <c r="H7" s="87" t="e">
        <f>INDEX(B3:B6, MATCH(G7, A3:A6, 0))</f>
        <v>#N/A</v>
      </c>
      <c r="I7" s="87" t="e">
        <f>INDEX(C3:C6, MATCH(G7, A3:A6, 0))</f>
        <v>#N/A</v>
      </c>
      <c r="J7" s="87" t="e">
        <f>INDEX(D3:D6, MATCH(G7, A3:A6, 0))</f>
        <v>#N/A</v>
      </c>
      <c r="K7" s="88" t="s">
        <v>200</v>
      </c>
      <c r="S7" t="s">
        <v>213</v>
      </c>
    </row>
    <row r="8" spans="1:21" ht="14.5" thickBot="1"/>
    <row r="9" spans="1:21" ht="14.5" thickBot="1">
      <c r="L9" s="143" t="s">
        <v>805</v>
      </c>
      <c r="M9" s="149"/>
      <c r="N9" s="150"/>
      <c r="O9" s="153"/>
      <c r="P9" s="143" t="e">
        <f>INDEX(D76:D154,MATCH(P2,A76:A154,0))</f>
        <v>#N/A</v>
      </c>
      <c r="Q9" s="159" t="s">
        <v>919</v>
      </c>
    </row>
    <row r="10" spans="1:21" ht="14.5" thickBot="1">
      <c r="A10" s="7" t="s">
        <v>162</v>
      </c>
      <c r="B10" s="10" t="s">
        <v>161</v>
      </c>
      <c r="C10" s="11"/>
      <c r="D10" s="12"/>
      <c r="E10" s="7" t="s">
        <v>163</v>
      </c>
      <c r="F10" t="s">
        <v>185</v>
      </c>
      <c r="L10" s="144" t="s">
        <v>806</v>
      </c>
      <c r="M10" s="142"/>
      <c r="N10" s="141"/>
      <c r="O10" s="154"/>
      <c r="P10" s="144" t="e">
        <f>INDEX(E76:E154,MATCH(P2,A76:A154,0))</f>
        <v>#N/A</v>
      </c>
      <c r="Q10" s="144" t="s">
        <v>920</v>
      </c>
    </row>
    <row r="11" spans="1:21" ht="17" thickBot="1">
      <c r="A11" s="7" t="s">
        <v>162</v>
      </c>
      <c r="B11" s="13" t="s">
        <v>284</v>
      </c>
      <c r="D11" s="14"/>
      <c r="E11" s="23" t="s">
        <v>204</v>
      </c>
      <c r="F11" t="s">
        <v>185</v>
      </c>
      <c r="L11" s="145" t="s">
        <v>908</v>
      </c>
      <c r="M11" s="151"/>
      <c r="N11" s="152"/>
      <c r="O11" s="155"/>
      <c r="P11" s="145" t="str" cm="1">
        <f t="array" ref="P11">_xlfn.TEXTJOIN(",",TRUE,_xlfn._xlws.FILTER(K2:K7,ISNUMBER(SEARCH("*○*",H2:H7)),""))</f>
        <v/>
      </c>
      <c r="Q11" s="145" t="s">
        <v>921</v>
      </c>
    </row>
    <row r="12" spans="1:21" ht="14.5" thickBot="1">
      <c r="A12" s="7" t="s">
        <v>162</v>
      </c>
      <c r="B12" s="13" t="s">
        <v>224</v>
      </c>
      <c r="D12" s="14"/>
      <c r="E12" s="8" t="s">
        <v>163</v>
      </c>
      <c r="F12" t="s">
        <v>185</v>
      </c>
      <c r="K12" t="str" cm="1">
        <f t="array" ref="K12">INDEX($J$35:$J$40,MOD(MATCH($P$21,$J$35:$J$40,0)+ROW(J35)-5,6)+1)</f>
        <v>腾蛇</v>
      </c>
      <c r="L12" s="146" t="s">
        <v>200</v>
      </c>
      <c r="M12" s="147"/>
      <c r="N12" s="148"/>
      <c r="O12" s="156"/>
      <c r="P12" s="157" t="e">
        <f>INDEX(K76:K154, MATCH(P2, A76:A154, 0))</f>
        <v>#N/A</v>
      </c>
      <c r="Q12" s="160" t="e">
        <f>INDEX(I58:I69,MATCH(LEFT(P12,2)&amp;"*",G58:G69,0))&amp;"（墓："&amp;INDEX(L69:L73,MATCH("*"&amp;MID(P12,1,1)&amp;"*",K69:K73,0))&amp;"）"</f>
        <v>#N/A</v>
      </c>
    </row>
    <row r="13" spans="1:21" ht="14.5" thickBot="1">
      <c r="A13" s="7" t="s">
        <v>162</v>
      </c>
      <c r="B13" s="13" t="s">
        <v>225</v>
      </c>
      <c r="D13" s="14"/>
      <c r="E13" s="8" t="s">
        <v>163</v>
      </c>
      <c r="F13" t="s">
        <v>185</v>
      </c>
      <c r="G13" s="22">
        <v>46178.57707175926</v>
      </c>
      <c r="K13" t="str" cm="1">
        <f t="array" ref="K13">INDEX($J$35:$J$40,MOD(MATCH($P$21,$J$35:$J$40,0)+ROW(J35)-4,6)+1)</f>
        <v>勾陈</v>
      </c>
      <c r="L13" s="144" t="s">
        <v>199</v>
      </c>
      <c r="M13" s="142"/>
      <c r="N13" s="141"/>
      <c r="O13" s="154"/>
      <c r="P13" s="158" t="e">
        <f>INDEX(J76:J154, MATCH(P2, A76:A154, 0))</f>
        <v>#N/A</v>
      </c>
      <c r="Q13" s="144" t="e">
        <f>INDEX(I58:I69,MATCH(LEFT(P13,2)&amp;"*",G58:G69,0))&amp;"（墓："&amp;INDEX(L69:L73,MATCH("*"&amp;MID(P13,1,1)&amp;"*",K69:K73,0))&amp;"）"</f>
        <v>#N/A</v>
      </c>
    </row>
    <row r="14" spans="1:21" ht="14.5" thickBot="1">
      <c r="A14" s="7" t="s">
        <v>162</v>
      </c>
      <c r="B14" s="13" t="s">
        <v>226</v>
      </c>
      <c r="D14" s="14"/>
      <c r="E14" s="8" t="s">
        <v>163</v>
      </c>
      <c r="F14" t="s">
        <v>185</v>
      </c>
      <c r="K14" t="str" cm="1">
        <f t="array" ref="K14">INDEX($J$35:$J$40,MOD(MATCH($P$21,$J$35:$J$40,0)+ROW(J35)-3,6)+1)</f>
        <v>朱雀</v>
      </c>
      <c r="L14" s="144" t="s">
        <v>198</v>
      </c>
      <c r="M14" s="142"/>
      <c r="N14" s="141"/>
      <c r="O14" s="154"/>
      <c r="P14" s="158" t="e">
        <f>INDEX(I76:I154, MATCH(P2, A76:A154, 0))</f>
        <v>#N/A</v>
      </c>
      <c r="Q14" s="144" t="e">
        <f>INDEX(I58:I69,MATCH(LEFT(P14,2)&amp;"*",G58:G69,0))&amp;"（墓："&amp;INDEX(L69:L73,MATCH("*"&amp;MID(P14,1,1)&amp;"*",K69:K73,0))&amp;"）"</f>
        <v>#N/A</v>
      </c>
    </row>
    <row r="15" spans="1:21" ht="14.5" thickBot="1">
      <c r="A15" s="7" t="s">
        <v>162</v>
      </c>
      <c r="B15" s="13" t="s">
        <v>227</v>
      </c>
      <c r="D15" s="14"/>
      <c r="E15" s="8" t="s">
        <v>163</v>
      </c>
      <c r="F15" t="s">
        <v>185</v>
      </c>
      <c r="K15" t="str" cm="1">
        <f t="array" ref="K15">INDEX($J$35:$J$40,MOD(MATCH($P$21,$J$35:$J$40,0)+ROW(J35)-2,6)+1)</f>
        <v>青龙</v>
      </c>
      <c r="L15" s="144" t="s">
        <v>197</v>
      </c>
      <c r="M15" s="142"/>
      <c r="N15" s="141"/>
      <c r="O15" s="154"/>
      <c r="P15" s="158" t="e">
        <f>INDEX(H76:H154, MATCH(P2, A76:A154, 0))</f>
        <v>#N/A</v>
      </c>
      <c r="Q15" s="161" t="e">
        <f>INDEX(I58:I69,MATCH(LEFT(P15,2)&amp;"*",G58:G69,0))&amp;"（墓："&amp;INDEX(L69:L73,MATCH("*"&amp;MID(P15,1,1)&amp;"*",K69:K73,0))&amp;"）"</f>
        <v>#N/A</v>
      </c>
    </row>
    <row r="16" spans="1:21" ht="14.5" thickBot="1">
      <c r="A16" s="7" t="s">
        <v>162</v>
      </c>
      <c r="B16" s="13" t="s">
        <v>228</v>
      </c>
      <c r="D16" s="14"/>
      <c r="E16" s="8" t="s">
        <v>163</v>
      </c>
      <c r="F16" t="s">
        <v>185</v>
      </c>
      <c r="K16" t="str" cm="1">
        <f t="array" ref="K16">INDEX($J$35:$J$40,MOD(MATCH($P$21,$J$35:$J$40,0)+ROW(J35)-1,6)+1)</f>
        <v>玄武</v>
      </c>
      <c r="L16" s="144" t="s">
        <v>196</v>
      </c>
      <c r="M16" s="142"/>
      <c r="N16" s="141"/>
      <c r="O16" s="154"/>
      <c r="P16" s="158" t="e">
        <f>INDEX(G76:G154, MATCH(P2, A76:A154, 0))</f>
        <v>#N/A</v>
      </c>
      <c r="Q16" s="144" t="e">
        <f>INDEX(I58:I69,MATCH(LEFT(P16,2)&amp;"*",G58:G69,0))&amp;"（墓："&amp;INDEX(L69:L73,MATCH("*"&amp;MID(P16,1,1)&amp;"*",K69:K73,0))&amp;"）"</f>
        <v>#N/A</v>
      </c>
    </row>
    <row r="17" spans="1:17" ht="14.5" thickBot="1">
      <c r="A17" s="19" t="s">
        <v>162</v>
      </c>
      <c r="B17" s="15" t="s">
        <v>229</v>
      </c>
      <c r="C17" s="16"/>
      <c r="D17" s="17"/>
      <c r="E17" s="9" t="s">
        <v>163</v>
      </c>
      <c r="F17" t="s">
        <v>185</v>
      </c>
      <c r="K17" t="str" cm="1">
        <f t="array" ref="K17">INDEX($J$35:$J$40,MOD(MATCH($P$21,$J$35:$J$40,0)+ROW(J35),6)+1)</f>
        <v>白虎</v>
      </c>
      <c r="L17" s="171" t="s">
        <v>195</v>
      </c>
      <c r="M17" s="172"/>
      <c r="N17" s="173"/>
      <c r="O17" s="174"/>
      <c r="P17" s="175" t="e">
        <f>INDEX(F76:F154, MATCH(P2, A76:A154, 0))</f>
        <v>#N/A</v>
      </c>
      <c r="Q17" s="171" t="e">
        <f>INDEX(I58:I69,MATCH(LEFT(P17,2)&amp;"*",G58:G69,0))&amp;"（墓："&amp;INDEX(L69:L73,MATCH("*"&amp;MID(P17,1,1)&amp;"*",K69:K73,0))&amp;"）"</f>
        <v>#N/A</v>
      </c>
    </row>
    <row r="18" spans="1:17" ht="17" thickBot="1">
      <c r="A18" s="18" t="s">
        <v>165</v>
      </c>
      <c r="B18" s="10" t="s">
        <v>166</v>
      </c>
      <c r="C18" s="11"/>
      <c r="D18" s="12"/>
      <c r="E18" s="24" t="s">
        <v>205</v>
      </c>
      <c r="F18" t="s">
        <v>186</v>
      </c>
      <c r="L18" s="143" t="s">
        <v>924</v>
      </c>
      <c r="M18" s="149"/>
      <c r="N18" s="150"/>
      <c r="O18" s="150"/>
      <c r="P18" s="275" t="str">
        <f>_xll.XSizhu(G13,"年 月 日 时")</f>
        <v>丙午年 癸巳月 庚戌日 癸未时</v>
      </c>
      <c r="Q18" s="276"/>
    </row>
    <row r="19" spans="1:17" ht="14.5" thickBot="1">
      <c r="A19" s="18" t="s">
        <v>165</v>
      </c>
      <c r="B19" s="13" t="s">
        <v>230</v>
      </c>
      <c r="D19" s="14"/>
      <c r="E19" s="8" t="s">
        <v>164</v>
      </c>
      <c r="F19" t="s">
        <v>186</v>
      </c>
      <c r="L19" s="144" t="s">
        <v>922</v>
      </c>
      <c r="M19" s="142"/>
      <c r="N19" s="141"/>
      <c r="O19" s="141"/>
      <c r="P19" s="179" t="str">
        <f>_xll.XSizhu(G13,"m")</f>
        <v>癸巳</v>
      </c>
      <c r="Q19" s="176" t="str">
        <f>INDEX(J69:J73,MATCH("*"&amp;MID(P19,2,1)&amp;"*",K69:K73,0))&amp;"（空： "&amp;INDEX(J28:J33,MATCH("*"&amp;P19&amp;"*",I28:I33,0))&amp;"）（破："&amp;SUBSTITUTE(INDEX(I35:I40,MATCH("*"&amp;MID(P19,2,1)&amp;"*",I35:I40,0)),MID(P19,2,1),"")&amp;"）（绝："&amp;INDEX(P69:P73,MATCH("*"&amp;MID(P19,2,1)&amp;"*",K69:K73,0))&amp;"）"</f>
        <v>火（空： 午未）（破：亥）（绝：亥）</v>
      </c>
    </row>
    <row r="20" spans="1:17" ht="14.5" thickBot="1">
      <c r="A20" s="18" t="s">
        <v>165</v>
      </c>
      <c r="B20" s="13" t="s">
        <v>231</v>
      </c>
      <c r="D20" s="14"/>
      <c r="E20" s="8" t="s">
        <v>164</v>
      </c>
      <c r="F20" t="s">
        <v>186</v>
      </c>
      <c r="L20" s="171" t="s">
        <v>923</v>
      </c>
      <c r="M20" s="172"/>
      <c r="N20" s="173"/>
      <c r="O20" s="173"/>
      <c r="P20" s="180" t="str">
        <f>_xll.XSizhu(G13,"d")</f>
        <v>庚戌</v>
      </c>
      <c r="Q20" s="176" t="str">
        <f>INDEX(J69:J73,MATCH("*"&amp;MID(P20,2,1)&amp;"*",K69:K73,0))&amp;"（空： "&amp;INDEX(J28:J33,MATCH("*"&amp;P20&amp;"*",I28:I33,0))&amp;"）（破："&amp;SUBSTITUTE(INDEX(I35:I40,MATCH("*"&amp;MID(P20,2,1)&amp;"*",I35:I40,0)),MID(P20,2,1),"")&amp;"）（绝："&amp;INDEX(P69:P73,MATCH("*"&amp;MID(P20,2,1)&amp;"*",K69:K73,0))&amp;"）"</f>
        <v>土（空： 寅卯）（破：辰）（绝：巳）</v>
      </c>
    </row>
    <row r="21" spans="1:17" ht="14.5" thickBot="1">
      <c r="A21" s="18" t="s">
        <v>165</v>
      </c>
      <c r="B21" s="13" t="s">
        <v>242</v>
      </c>
      <c r="D21" s="14"/>
      <c r="E21" s="8" t="s">
        <v>164</v>
      </c>
      <c r="F21" t="s">
        <v>186</v>
      </c>
      <c r="L21" s="145" t="s">
        <v>925</v>
      </c>
      <c r="M21" s="151"/>
      <c r="N21" s="152"/>
      <c r="O21" s="152"/>
      <c r="P21" s="177" t="str">
        <f>INDEX(K58:K67,MATCH(LEFT(P20,1)&amp;"*",J58:J67,0))</f>
        <v>白虎</v>
      </c>
      <c r="Q21" s="178" t="str">
        <f>INDEX(L58:L67, MATCH(P21, K58:K67, 0))</f>
        <v>偏“硬、急、凶、伤”。常见附加象是刑伤、血光、手术、冲击、凶险、猛、硬物、金属、刀剪、边角。</v>
      </c>
    </row>
    <row r="22" spans="1:17" ht="14.5" thickBot="1">
      <c r="A22" s="18" t="s">
        <v>165</v>
      </c>
      <c r="B22" s="13" t="s">
        <v>243</v>
      </c>
      <c r="D22" s="14"/>
      <c r="E22" s="8" t="s">
        <v>164</v>
      </c>
      <c r="F22" t="s">
        <v>186</v>
      </c>
    </row>
    <row r="23" spans="1:17" ht="14.5" thickBot="1">
      <c r="A23" s="18" t="s">
        <v>165</v>
      </c>
      <c r="B23" s="13" t="s">
        <v>244</v>
      </c>
      <c r="D23" s="14"/>
      <c r="E23" s="8" t="s">
        <v>164</v>
      </c>
      <c r="F23" t="s">
        <v>186</v>
      </c>
      <c r="Q23" s="38"/>
    </row>
    <row r="24" spans="1:17" ht="14.5" thickBot="1">
      <c r="A24" s="18" t="s">
        <v>165</v>
      </c>
      <c r="B24" s="13" t="s">
        <v>232</v>
      </c>
      <c r="D24" s="14"/>
      <c r="E24" s="8" t="s">
        <v>164</v>
      </c>
      <c r="F24" t="s">
        <v>186</v>
      </c>
      <c r="Q24" s="38"/>
    </row>
    <row r="25" spans="1:17" ht="14.5" thickBot="1">
      <c r="A25" s="21" t="s">
        <v>165</v>
      </c>
      <c r="B25" s="15" t="s">
        <v>245</v>
      </c>
      <c r="C25" s="16"/>
      <c r="D25" s="17"/>
      <c r="E25" s="9" t="s">
        <v>164</v>
      </c>
      <c r="F25" t="s">
        <v>186</v>
      </c>
    </row>
    <row r="26" spans="1:17" ht="14.5" thickBot="1">
      <c r="A26" s="20" t="s">
        <v>168</v>
      </c>
      <c r="B26" s="13" t="s">
        <v>169</v>
      </c>
      <c r="D26" s="14"/>
      <c r="E26" s="8" t="s">
        <v>167</v>
      </c>
      <c r="F26" t="s">
        <v>187</v>
      </c>
    </row>
    <row r="27" spans="1:17" ht="17" thickBot="1">
      <c r="A27" s="18" t="s">
        <v>168</v>
      </c>
      <c r="B27" s="13" t="s">
        <v>233</v>
      </c>
      <c r="D27" s="14"/>
      <c r="E27" s="23" t="s">
        <v>206</v>
      </c>
      <c r="F27" t="s">
        <v>187</v>
      </c>
      <c r="H27" t="s">
        <v>962</v>
      </c>
      <c r="I27" t="s">
        <v>963</v>
      </c>
      <c r="J27" t="s">
        <v>964</v>
      </c>
    </row>
    <row r="28" spans="1:17" ht="14.5" thickBot="1">
      <c r="A28" s="18" t="s">
        <v>168</v>
      </c>
      <c r="B28" s="13" t="s">
        <v>283</v>
      </c>
      <c r="D28" s="14"/>
      <c r="E28" s="8" t="s">
        <v>167</v>
      </c>
      <c r="F28" t="s">
        <v>187</v>
      </c>
      <c r="H28" t="s">
        <v>965</v>
      </c>
      <c r="I28" t="s">
        <v>966</v>
      </c>
      <c r="J28" t="s">
        <v>967</v>
      </c>
    </row>
    <row r="29" spans="1:17" ht="14.5" thickBot="1">
      <c r="A29" s="18" t="s">
        <v>168</v>
      </c>
      <c r="B29" s="13" t="s">
        <v>234</v>
      </c>
      <c r="D29" s="14"/>
      <c r="E29" s="8" t="s">
        <v>167</v>
      </c>
      <c r="F29" t="s">
        <v>187</v>
      </c>
      <c r="H29" t="s">
        <v>968</v>
      </c>
      <c r="I29" t="s">
        <v>969</v>
      </c>
      <c r="J29" t="s">
        <v>970</v>
      </c>
    </row>
    <row r="30" spans="1:17" ht="14.5" thickBot="1">
      <c r="A30" s="18" t="s">
        <v>168</v>
      </c>
      <c r="B30" s="13" t="s">
        <v>246</v>
      </c>
      <c r="D30" s="14"/>
      <c r="E30" s="8" t="s">
        <v>167</v>
      </c>
      <c r="F30" t="s">
        <v>187</v>
      </c>
      <c r="H30" t="s">
        <v>971</v>
      </c>
      <c r="I30" t="s">
        <v>972</v>
      </c>
      <c r="J30" t="s">
        <v>973</v>
      </c>
    </row>
    <row r="31" spans="1:17" ht="14.5" thickBot="1">
      <c r="A31" s="18" t="s">
        <v>168</v>
      </c>
      <c r="B31" s="13" t="s">
        <v>235</v>
      </c>
      <c r="D31" s="14"/>
      <c r="E31" s="8" t="s">
        <v>167</v>
      </c>
      <c r="F31" t="s">
        <v>187</v>
      </c>
      <c r="H31" t="s">
        <v>974</v>
      </c>
      <c r="I31" t="s">
        <v>975</v>
      </c>
      <c r="J31" t="s">
        <v>993</v>
      </c>
    </row>
    <row r="32" spans="1:17" ht="14.5" thickBot="1">
      <c r="A32" s="18" t="s">
        <v>168</v>
      </c>
      <c r="B32" s="13" t="s">
        <v>247</v>
      </c>
      <c r="D32" s="14"/>
      <c r="E32" s="8" t="s">
        <v>167</v>
      </c>
      <c r="F32" t="s">
        <v>187</v>
      </c>
      <c r="H32" t="s">
        <v>976</v>
      </c>
      <c r="I32" t="s">
        <v>977</v>
      </c>
      <c r="J32" t="s">
        <v>978</v>
      </c>
    </row>
    <row r="33" spans="1:10" ht="14.5" thickBot="1">
      <c r="A33" s="18" t="s">
        <v>168</v>
      </c>
      <c r="B33" s="13" t="s">
        <v>248</v>
      </c>
      <c r="D33" s="14"/>
      <c r="E33" s="8" t="s">
        <v>167</v>
      </c>
      <c r="F33" t="s">
        <v>187</v>
      </c>
      <c r="H33" t="s">
        <v>979</v>
      </c>
      <c r="I33" t="s">
        <v>980</v>
      </c>
      <c r="J33" t="s">
        <v>981</v>
      </c>
    </row>
    <row r="34" spans="1:10" ht="14.5" thickBot="1">
      <c r="A34" s="7" t="s">
        <v>172</v>
      </c>
      <c r="B34" s="10" t="s">
        <v>173</v>
      </c>
      <c r="C34" s="11"/>
      <c r="D34" s="12"/>
      <c r="E34" s="7" t="s">
        <v>171</v>
      </c>
      <c r="F34" t="s">
        <v>188</v>
      </c>
    </row>
    <row r="35" spans="1:10" ht="17" thickBot="1">
      <c r="A35" s="7" t="s">
        <v>172</v>
      </c>
      <c r="B35" s="13" t="s">
        <v>236</v>
      </c>
      <c r="D35" s="14"/>
      <c r="E35" s="23" t="s">
        <v>207</v>
      </c>
      <c r="F35" t="s">
        <v>188</v>
      </c>
      <c r="I35" t="s">
        <v>984</v>
      </c>
      <c r="J35" t="s">
        <v>941</v>
      </c>
    </row>
    <row r="36" spans="1:10" ht="14.5" thickBot="1">
      <c r="A36" s="7" t="s">
        <v>172</v>
      </c>
      <c r="B36" s="13" t="s">
        <v>249</v>
      </c>
      <c r="D36" s="14"/>
      <c r="E36" s="8" t="s">
        <v>171</v>
      </c>
      <c r="F36" t="s">
        <v>188</v>
      </c>
      <c r="I36" t="s">
        <v>985</v>
      </c>
      <c r="J36" t="s">
        <v>940</v>
      </c>
    </row>
    <row r="37" spans="1:10" ht="14.5" thickBot="1">
      <c r="A37" s="7" t="s">
        <v>172</v>
      </c>
      <c r="B37" s="13" t="s">
        <v>250</v>
      </c>
      <c r="D37" s="14"/>
      <c r="E37" s="8" t="s">
        <v>171</v>
      </c>
      <c r="F37" t="s">
        <v>188</v>
      </c>
      <c r="I37" t="s">
        <v>986</v>
      </c>
      <c r="J37" t="s">
        <v>939</v>
      </c>
    </row>
    <row r="38" spans="1:10" ht="14.5" thickBot="1">
      <c r="A38" s="7" t="s">
        <v>172</v>
      </c>
      <c r="B38" s="13" t="s">
        <v>251</v>
      </c>
      <c r="D38" s="14"/>
      <c r="E38" s="8" t="s">
        <v>171</v>
      </c>
      <c r="F38" t="s">
        <v>188</v>
      </c>
      <c r="I38" t="s">
        <v>987</v>
      </c>
      <c r="J38" t="s">
        <v>938</v>
      </c>
    </row>
    <row r="39" spans="1:10" ht="14.5" thickBot="1">
      <c r="A39" s="7" t="s">
        <v>172</v>
      </c>
      <c r="B39" s="13" t="s">
        <v>252</v>
      </c>
      <c r="D39" s="14"/>
      <c r="E39" s="8" t="s">
        <v>171</v>
      </c>
      <c r="F39" t="s">
        <v>188</v>
      </c>
      <c r="I39" t="s">
        <v>988</v>
      </c>
      <c r="J39" t="s">
        <v>937</v>
      </c>
    </row>
    <row r="40" spans="1:10" ht="14.5" thickBot="1">
      <c r="A40" s="7" t="s">
        <v>172</v>
      </c>
      <c r="B40" s="13" t="s">
        <v>253</v>
      </c>
      <c r="D40" s="14"/>
      <c r="E40" s="8" t="s">
        <v>171</v>
      </c>
      <c r="F40" t="s">
        <v>188</v>
      </c>
      <c r="I40" t="s">
        <v>989</v>
      </c>
      <c r="J40" t="s">
        <v>936</v>
      </c>
    </row>
    <row r="41" spans="1:10" ht="14.5" thickBot="1">
      <c r="A41" s="19" t="s">
        <v>172</v>
      </c>
      <c r="B41" s="15" t="s">
        <v>254</v>
      </c>
      <c r="C41" s="16"/>
      <c r="D41" s="17"/>
      <c r="E41" s="9" t="s">
        <v>171</v>
      </c>
      <c r="F41" t="s">
        <v>188</v>
      </c>
    </row>
    <row r="42" spans="1:10" ht="14.5" thickBot="1">
      <c r="A42" s="8" t="s">
        <v>175</v>
      </c>
      <c r="B42" s="13" t="s">
        <v>176</v>
      </c>
      <c r="D42" s="14"/>
      <c r="E42" s="8" t="s">
        <v>174</v>
      </c>
      <c r="F42" t="s">
        <v>189</v>
      </c>
    </row>
    <row r="43" spans="1:10" ht="14.5" thickBot="1">
      <c r="A43" s="7" t="s">
        <v>175</v>
      </c>
      <c r="B43" s="13" t="s">
        <v>255</v>
      </c>
      <c r="D43" s="14"/>
      <c r="E43" s="8" t="s">
        <v>174</v>
      </c>
      <c r="F43" t="s">
        <v>189</v>
      </c>
    </row>
    <row r="44" spans="1:10" ht="17" thickBot="1">
      <c r="A44" s="7" t="s">
        <v>175</v>
      </c>
      <c r="B44" s="13" t="s">
        <v>237</v>
      </c>
      <c r="D44" s="14"/>
      <c r="E44" s="23" t="s">
        <v>208</v>
      </c>
      <c r="F44" t="s">
        <v>189</v>
      </c>
    </row>
    <row r="45" spans="1:10" ht="14.5" thickBot="1">
      <c r="A45" s="7" t="s">
        <v>175</v>
      </c>
      <c r="B45" s="13" t="s">
        <v>238</v>
      </c>
      <c r="D45" s="14"/>
      <c r="E45" s="8" t="s">
        <v>174</v>
      </c>
      <c r="F45" t="s">
        <v>189</v>
      </c>
    </row>
    <row r="46" spans="1:10" ht="14.5" thickBot="1">
      <c r="A46" s="7" t="s">
        <v>175</v>
      </c>
      <c r="B46" s="13" t="s">
        <v>239</v>
      </c>
      <c r="D46" s="14"/>
      <c r="E46" s="8" t="s">
        <v>174</v>
      </c>
      <c r="F46" t="s">
        <v>189</v>
      </c>
    </row>
    <row r="47" spans="1:10" ht="14.5" thickBot="1">
      <c r="A47" s="7" t="s">
        <v>175</v>
      </c>
      <c r="B47" s="13" t="s">
        <v>256</v>
      </c>
      <c r="D47" s="14"/>
      <c r="E47" s="8" t="s">
        <v>174</v>
      </c>
      <c r="F47" t="s">
        <v>189</v>
      </c>
    </row>
    <row r="48" spans="1:10" ht="14.5" thickBot="1">
      <c r="A48" s="7" t="s">
        <v>175</v>
      </c>
      <c r="B48" s="13" t="s">
        <v>257</v>
      </c>
      <c r="D48" s="14"/>
      <c r="E48" s="8" t="s">
        <v>174</v>
      </c>
      <c r="F48" t="s">
        <v>189</v>
      </c>
    </row>
    <row r="49" spans="1:12" ht="14.5" thickBot="1">
      <c r="A49" s="7" t="s">
        <v>175</v>
      </c>
      <c r="B49" s="15" t="s">
        <v>258</v>
      </c>
      <c r="C49" s="16"/>
      <c r="D49" s="17"/>
      <c r="E49" s="8" t="s">
        <v>174</v>
      </c>
      <c r="F49" t="s">
        <v>189</v>
      </c>
    </row>
    <row r="50" spans="1:12" ht="14.5" thickBot="1">
      <c r="A50" s="7" t="s">
        <v>178</v>
      </c>
      <c r="B50" s="10" t="s">
        <v>179</v>
      </c>
      <c r="C50" s="11"/>
      <c r="D50" s="12"/>
      <c r="E50" s="7" t="s">
        <v>177</v>
      </c>
      <c r="F50" t="s">
        <v>190</v>
      </c>
    </row>
    <row r="51" spans="1:12" ht="17" thickBot="1">
      <c r="A51" s="7" t="s">
        <v>178</v>
      </c>
      <c r="B51" s="13" t="s">
        <v>259</v>
      </c>
      <c r="D51" s="14"/>
      <c r="E51" s="23" t="s">
        <v>209</v>
      </c>
      <c r="F51" t="s">
        <v>190</v>
      </c>
    </row>
    <row r="52" spans="1:12" ht="14.5" thickBot="1">
      <c r="A52" s="7" t="s">
        <v>178</v>
      </c>
      <c r="B52" s="13" t="s">
        <v>240</v>
      </c>
      <c r="D52" s="14"/>
      <c r="E52" s="8" t="s">
        <v>177</v>
      </c>
      <c r="F52" t="s">
        <v>190</v>
      </c>
    </row>
    <row r="53" spans="1:12" ht="14.5" thickBot="1">
      <c r="A53" s="7" t="s">
        <v>178</v>
      </c>
      <c r="B53" s="13" t="s">
        <v>260</v>
      </c>
      <c r="D53" s="14"/>
      <c r="E53" s="8" t="s">
        <v>177</v>
      </c>
      <c r="F53" t="s">
        <v>190</v>
      </c>
    </row>
    <row r="54" spans="1:12" ht="14.5" thickBot="1">
      <c r="A54" s="7" t="s">
        <v>178</v>
      </c>
      <c r="B54" s="13" t="s">
        <v>261</v>
      </c>
      <c r="D54" s="14"/>
      <c r="E54" s="8" t="s">
        <v>177</v>
      </c>
      <c r="F54" t="s">
        <v>190</v>
      </c>
    </row>
    <row r="55" spans="1:12" ht="14.5" thickBot="1">
      <c r="A55" s="7" t="s">
        <v>178</v>
      </c>
      <c r="B55" s="13" t="s">
        <v>262</v>
      </c>
      <c r="D55" s="14"/>
      <c r="E55" s="8" t="s">
        <v>177</v>
      </c>
      <c r="F55" t="s">
        <v>190</v>
      </c>
    </row>
    <row r="56" spans="1:12" ht="14.5" thickBot="1">
      <c r="A56" s="7" t="s">
        <v>178</v>
      </c>
      <c r="B56" s="13" t="s">
        <v>263</v>
      </c>
      <c r="D56" s="14"/>
      <c r="E56" s="8" t="s">
        <v>177</v>
      </c>
      <c r="F56" t="s">
        <v>190</v>
      </c>
    </row>
    <row r="57" spans="1:12" ht="14.5" thickBot="1">
      <c r="A57" s="7" t="s">
        <v>178</v>
      </c>
      <c r="B57" s="15" t="s">
        <v>264</v>
      </c>
      <c r="C57" s="16"/>
      <c r="D57" s="17"/>
      <c r="E57" s="9" t="s">
        <v>177</v>
      </c>
      <c r="F57" t="s">
        <v>190</v>
      </c>
    </row>
    <row r="58" spans="1:12" ht="14.5" thickBot="1">
      <c r="A58" s="7" t="s">
        <v>181</v>
      </c>
      <c r="B58" s="10" t="s">
        <v>170</v>
      </c>
      <c r="C58" s="11"/>
      <c r="D58" s="12"/>
      <c r="E58" s="7" t="s">
        <v>180</v>
      </c>
      <c r="F58" t="s">
        <v>191</v>
      </c>
      <c r="G58" s="10" t="s">
        <v>821</v>
      </c>
      <c r="H58" s="11" t="s">
        <v>159</v>
      </c>
      <c r="I58" s="12" t="s">
        <v>837</v>
      </c>
      <c r="J58" s="10" t="s">
        <v>926</v>
      </c>
      <c r="K58" s="11" t="s">
        <v>936</v>
      </c>
      <c r="L58" s="12" t="s">
        <v>942</v>
      </c>
    </row>
    <row r="59" spans="1:12" ht="17" thickBot="1">
      <c r="A59" s="7" t="s">
        <v>181</v>
      </c>
      <c r="B59" s="13" t="s">
        <v>265</v>
      </c>
      <c r="D59" s="14"/>
      <c r="E59" s="23" t="s">
        <v>210</v>
      </c>
      <c r="F59" t="s">
        <v>191</v>
      </c>
      <c r="G59" s="13" t="s">
        <v>838</v>
      </c>
      <c r="H59" t="s">
        <v>160</v>
      </c>
      <c r="I59" s="14" t="s">
        <v>839</v>
      </c>
      <c r="J59" s="13" t="s">
        <v>927</v>
      </c>
      <c r="K59" t="s">
        <v>936</v>
      </c>
      <c r="L59" s="14" t="s">
        <v>942</v>
      </c>
    </row>
    <row r="60" spans="1:12" ht="14.5" thickBot="1">
      <c r="A60" s="7" t="s">
        <v>181</v>
      </c>
      <c r="B60" s="13" t="s">
        <v>266</v>
      </c>
      <c r="D60" s="14"/>
      <c r="E60" s="8" t="s">
        <v>180</v>
      </c>
      <c r="F60" t="s">
        <v>191</v>
      </c>
      <c r="G60" s="13" t="s">
        <v>822</v>
      </c>
      <c r="H60" t="s">
        <v>159</v>
      </c>
      <c r="I60" s="14" t="s">
        <v>840</v>
      </c>
      <c r="J60" s="13" t="s">
        <v>928</v>
      </c>
      <c r="K60" t="s">
        <v>937</v>
      </c>
      <c r="L60" s="14" t="s">
        <v>943</v>
      </c>
    </row>
    <row r="61" spans="1:12" ht="14.5" thickBot="1">
      <c r="A61" s="7" t="s">
        <v>181</v>
      </c>
      <c r="B61" s="13" t="s">
        <v>241</v>
      </c>
      <c r="D61" s="14"/>
      <c r="E61" s="8" t="s">
        <v>180</v>
      </c>
      <c r="F61" t="s">
        <v>191</v>
      </c>
      <c r="G61" s="13" t="s">
        <v>841</v>
      </c>
      <c r="H61" t="s">
        <v>160</v>
      </c>
      <c r="I61" s="14" t="s">
        <v>842</v>
      </c>
      <c r="J61" s="13" t="s">
        <v>929</v>
      </c>
      <c r="K61" t="s">
        <v>937</v>
      </c>
      <c r="L61" s="14" t="s">
        <v>943</v>
      </c>
    </row>
    <row r="62" spans="1:12" ht="14.5" thickBot="1">
      <c r="A62" s="7" t="s">
        <v>181</v>
      </c>
      <c r="B62" s="13" t="s">
        <v>267</v>
      </c>
      <c r="D62" s="14"/>
      <c r="E62" s="8" t="s">
        <v>180</v>
      </c>
      <c r="F62" t="s">
        <v>191</v>
      </c>
      <c r="G62" s="13" t="s">
        <v>823</v>
      </c>
      <c r="H62" t="s">
        <v>159</v>
      </c>
      <c r="I62" s="14" t="s">
        <v>843</v>
      </c>
      <c r="J62" s="13" t="s">
        <v>930</v>
      </c>
      <c r="K62" t="s">
        <v>938</v>
      </c>
      <c r="L62" s="14" t="s">
        <v>944</v>
      </c>
    </row>
    <row r="63" spans="1:12" ht="14.5" thickBot="1">
      <c r="A63" s="7" t="s">
        <v>181</v>
      </c>
      <c r="B63" s="13" t="s">
        <v>268</v>
      </c>
      <c r="D63" s="14"/>
      <c r="E63" s="8" t="s">
        <v>180</v>
      </c>
      <c r="F63" t="s">
        <v>191</v>
      </c>
      <c r="G63" s="13" t="s">
        <v>834</v>
      </c>
      <c r="H63" t="s">
        <v>160</v>
      </c>
      <c r="I63" s="14" t="s">
        <v>844</v>
      </c>
      <c r="J63" s="13" t="s">
        <v>931</v>
      </c>
      <c r="K63" t="s">
        <v>939</v>
      </c>
      <c r="L63" s="14" t="s">
        <v>945</v>
      </c>
    </row>
    <row r="64" spans="1:12" ht="14.5" thickBot="1">
      <c r="A64" s="7" t="s">
        <v>181</v>
      </c>
      <c r="B64" s="13" t="s">
        <v>269</v>
      </c>
      <c r="D64" s="14"/>
      <c r="E64" s="8" t="s">
        <v>180</v>
      </c>
      <c r="F64" t="s">
        <v>191</v>
      </c>
      <c r="G64" s="13" t="s">
        <v>824</v>
      </c>
      <c r="H64" t="s">
        <v>159</v>
      </c>
      <c r="I64" s="14" t="s">
        <v>845</v>
      </c>
      <c r="J64" s="13" t="s">
        <v>932</v>
      </c>
      <c r="K64" t="s">
        <v>940</v>
      </c>
      <c r="L64" s="14" t="s">
        <v>946</v>
      </c>
    </row>
    <row r="65" spans="1:16" ht="14.5" thickBot="1">
      <c r="A65" s="19" t="s">
        <v>181</v>
      </c>
      <c r="B65" s="15" t="s">
        <v>270</v>
      </c>
      <c r="C65" s="16"/>
      <c r="D65" s="17"/>
      <c r="E65" s="9" t="s">
        <v>180</v>
      </c>
      <c r="F65" t="s">
        <v>191</v>
      </c>
      <c r="G65" s="13" t="s">
        <v>846</v>
      </c>
      <c r="H65" t="s">
        <v>160</v>
      </c>
      <c r="I65" s="14" t="s">
        <v>847</v>
      </c>
      <c r="J65" s="13" t="s">
        <v>933</v>
      </c>
      <c r="K65" t="s">
        <v>940</v>
      </c>
      <c r="L65" s="14" t="s">
        <v>946</v>
      </c>
    </row>
    <row r="66" spans="1:16" ht="14.5" thickBot="1">
      <c r="A66" s="7" t="s">
        <v>183</v>
      </c>
      <c r="B66" s="10" t="s">
        <v>184</v>
      </c>
      <c r="C66" s="11"/>
      <c r="D66" s="12"/>
      <c r="E66" s="7" t="s">
        <v>182</v>
      </c>
      <c r="F66" t="s">
        <v>192</v>
      </c>
      <c r="G66" s="13" t="s">
        <v>825</v>
      </c>
      <c r="H66" t="s">
        <v>159</v>
      </c>
      <c r="I66" s="14" t="s">
        <v>848</v>
      </c>
      <c r="J66" s="13" t="s">
        <v>934</v>
      </c>
      <c r="K66" t="s">
        <v>941</v>
      </c>
      <c r="L66" s="14" t="s">
        <v>947</v>
      </c>
    </row>
    <row r="67" spans="1:16" ht="14.5" thickBot="1">
      <c r="A67" s="7" t="s">
        <v>183</v>
      </c>
      <c r="B67" s="13" t="s">
        <v>271</v>
      </c>
      <c r="D67" s="14"/>
      <c r="E67" s="8" t="s">
        <v>182</v>
      </c>
      <c r="F67" t="s">
        <v>192</v>
      </c>
      <c r="G67" s="13" t="s">
        <v>850</v>
      </c>
      <c r="H67" t="s">
        <v>160</v>
      </c>
      <c r="I67" s="14" t="s">
        <v>849</v>
      </c>
      <c r="J67" s="15" t="s">
        <v>935</v>
      </c>
      <c r="K67" s="16" t="s">
        <v>941</v>
      </c>
      <c r="L67" s="17" t="s">
        <v>947</v>
      </c>
    </row>
    <row r="68" spans="1:16" ht="14.5" thickBot="1">
      <c r="A68" s="7" t="s">
        <v>183</v>
      </c>
      <c r="B68" s="13" t="s">
        <v>272</v>
      </c>
      <c r="D68" s="14"/>
      <c r="E68" s="8" t="s">
        <v>182</v>
      </c>
      <c r="F68" t="s">
        <v>192</v>
      </c>
      <c r="G68" s="13" t="s">
        <v>826</v>
      </c>
      <c r="H68" t="s">
        <v>159</v>
      </c>
      <c r="I68" s="14" t="s">
        <v>851</v>
      </c>
      <c r="L68" s="14" t="s">
        <v>990</v>
      </c>
      <c r="P68" t="s">
        <v>991</v>
      </c>
    </row>
    <row r="69" spans="1:16" ht="17" thickBot="1">
      <c r="A69" s="7" t="s">
        <v>183</v>
      </c>
      <c r="B69" s="13" t="s">
        <v>273</v>
      </c>
      <c r="D69" s="14"/>
      <c r="E69" s="23" t="s">
        <v>211</v>
      </c>
      <c r="F69" t="s">
        <v>192</v>
      </c>
      <c r="G69" s="15" t="s">
        <v>836</v>
      </c>
      <c r="H69" s="16" t="s">
        <v>160</v>
      </c>
      <c r="I69" s="17" t="s">
        <v>852</v>
      </c>
      <c r="J69" s="11" t="s">
        <v>809</v>
      </c>
      <c r="K69" s="11" t="s">
        <v>950</v>
      </c>
      <c r="L69" s="11" t="s">
        <v>833</v>
      </c>
      <c r="M69" s="11"/>
      <c r="N69" s="181"/>
      <c r="O69" s="181"/>
      <c r="P69" s="12" t="s">
        <v>203</v>
      </c>
    </row>
    <row r="70" spans="1:16" ht="14.5" thickBot="1">
      <c r="A70" s="7" t="s">
        <v>183</v>
      </c>
      <c r="B70" s="13" t="s">
        <v>274</v>
      </c>
      <c r="D70" s="14"/>
      <c r="E70" s="8" t="s">
        <v>182</v>
      </c>
      <c r="F70" t="s">
        <v>192</v>
      </c>
      <c r="J70" s="13" t="s">
        <v>948</v>
      </c>
      <c r="K70" t="s">
        <v>951</v>
      </c>
      <c r="L70" t="s">
        <v>835</v>
      </c>
      <c r="P70" s="14" t="s">
        <v>818</v>
      </c>
    </row>
    <row r="71" spans="1:16" ht="14.5" thickBot="1">
      <c r="A71" s="7" t="s">
        <v>183</v>
      </c>
      <c r="B71" s="13" t="s">
        <v>275</v>
      </c>
      <c r="D71" s="14"/>
      <c r="E71" s="8" t="s">
        <v>182</v>
      </c>
      <c r="F71" t="s">
        <v>192</v>
      </c>
      <c r="J71" s="13" t="s">
        <v>190</v>
      </c>
      <c r="K71" t="s">
        <v>952</v>
      </c>
      <c r="L71" t="s">
        <v>820</v>
      </c>
      <c r="P71" s="14" t="s">
        <v>983</v>
      </c>
    </row>
    <row r="72" spans="1:16" ht="14.5" thickBot="1">
      <c r="A72" s="7" t="s">
        <v>183</v>
      </c>
      <c r="B72" s="13" t="s">
        <v>276</v>
      </c>
      <c r="D72" s="14"/>
      <c r="E72" s="8" t="s">
        <v>182</v>
      </c>
      <c r="F72" t="s">
        <v>192</v>
      </c>
      <c r="J72" s="13" t="s">
        <v>187</v>
      </c>
      <c r="K72" t="s">
        <v>953</v>
      </c>
      <c r="L72" t="s">
        <v>819</v>
      </c>
      <c r="P72" s="14" t="s">
        <v>982</v>
      </c>
    </row>
    <row r="73" spans="1:16" ht="14.5" thickBot="1">
      <c r="A73" s="19" t="s">
        <v>183</v>
      </c>
      <c r="B73" s="15" t="s">
        <v>277</v>
      </c>
      <c r="C73" s="16"/>
      <c r="D73" s="17"/>
      <c r="E73" s="9" t="s">
        <v>182</v>
      </c>
      <c r="F73" t="s">
        <v>192</v>
      </c>
      <c r="J73" s="15" t="s">
        <v>949</v>
      </c>
      <c r="K73" s="16" t="s">
        <v>954</v>
      </c>
      <c r="L73" s="16" t="s">
        <v>820</v>
      </c>
      <c r="M73" s="16"/>
      <c r="N73" s="182"/>
      <c r="O73" s="182"/>
      <c r="P73" s="17" t="s">
        <v>983</v>
      </c>
    </row>
    <row r="75" spans="1:16">
      <c r="D75" t="s">
        <v>805</v>
      </c>
      <c r="E75" t="s">
        <v>806</v>
      </c>
      <c r="F75" t="s">
        <v>195</v>
      </c>
      <c r="G75" t="s">
        <v>196</v>
      </c>
      <c r="H75" t="s">
        <v>197</v>
      </c>
      <c r="I75" t="s">
        <v>198</v>
      </c>
      <c r="J75" t="s">
        <v>199</v>
      </c>
      <c r="K75" t="s">
        <v>200</v>
      </c>
    </row>
    <row r="76" spans="1:16">
      <c r="A76" s="4" t="s">
        <v>534</v>
      </c>
      <c r="B76" t="s">
        <v>810</v>
      </c>
      <c r="G76" t="s">
        <v>807</v>
      </c>
      <c r="H76" t="s">
        <v>808</v>
      </c>
    </row>
    <row r="77" spans="1:16" ht="28">
      <c r="A77" s="4" t="s">
        <v>513</v>
      </c>
      <c r="C77" t="s">
        <v>510</v>
      </c>
      <c r="D77" t="s">
        <v>200</v>
      </c>
      <c r="E77" t="s">
        <v>197</v>
      </c>
      <c r="F77" s="140" t="s">
        <v>827</v>
      </c>
      <c r="G77" s="140" t="s">
        <v>828</v>
      </c>
      <c r="H77" s="140" t="s">
        <v>829</v>
      </c>
      <c r="I77" s="140" t="s">
        <v>830</v>
      </c>
      <c r="J77" s="140" t="s">
        <v>831</v>
      </c>
      <c r="K77" s="140" t="s">
        <v>832</v>
      </c>
      <c r="M77" s="140"/>
      <c r="N77" s="140"/>
    </row>
    <row r="78" spans="1:16" ht="28">
      <c r="A78" s="4" t="s">
        <v>803</v>
      </c>
      <c r="C78" t="s">
        <v>604</v>
      </c>
      <c r="D78" t="s">
        <v>195</v>
      </c>
      <c r="E78" t="s">
        <v>198</v>
      </c>
      <c r="F78" s="140" t="s">
        <v>853</v>
      </c>
      <c r="G78" s="140" t="s">
        <v>855</v>
      </c>
      <c r="H78" s="140" t="s">
        <v>856</v>
      </c>
      <c r="I78" s="140" t="s">
        <v>830</v>
      </c>
      <c r="J78" s="140" t="s">
        <v>831</v>
      </c>
      <c r="K78" s="140" t="s">
        <v>832</v>
      </c>
      <c r="N78"/>
    </row>
    <row r="79" spans="1:16" ht="28">
      <c r="A79" s="4" t="s">
        <v>582</v>
      </c>
      <c r="C79" t="s">
        <v>583</v>
      </c>
      <c r="D79" t="s">
        <v>196</v>
      </c>
      <c r="E79" t="s">
        <v>199</v>
      </c>
      <c r="F79" s="140" t="s">
        <v>829</v>
      </c>
      <c r="G79" s="140" t="s">
        <v>830</v>
      </c>
      <c r="H79" s="140" t="s">
        <v>831</v>
      </c>
      <c r="I79" s="140" t="s">
        <v>830</v>
      </c>
      <c r="J79" s="140" t="s">
        <v>831</v>
      </c>
      <c r="K79" s="140" t="s">
        <v>832</v>
      </c>
      <c r="N79"/>
    </row>
    <row r="80" spans="1:16" ht="28">
      <c r="A80" s="4" t="s">
        <v>532</v>
      </c>
      <c r="C80" t="s">
        <v>533</v>
      </c>
      <c r="D80" t="s">
        <v>197</v>
      </c>
      <c r="E80" t="s">
        <v>200</v>
      </c>
      <c r="F80" s="140" t="s">
        <v>854</v>
      </c>
      <c r="G80" s="140" t="s">
        <v>857</v>
      </c>
      <c r="H80" s="140" t="s">
        <v>858</v>
      </c>
      <c r="I80" s="140" t="s">
        <v>830</v>
      </c>
      <c r="J80" s="140" t="s">
        <v>831</v>
      </c>
      <c r="K80" s="140" t="s">
        <v>832</v>
      </c>
      <c r="N80"/>
    </row>
    <row r="81" spans="1:14" ht="28">
      <c r="A81" s="4" t="s">
        <v>556</v>
      </c>
      <c r="C81" t="s">
        <v>557</v>
      </c>
      <c r="D81" t="s">
        <v>198</v>
      </c>
      <c r="E81" t="s">
        <v>195</v>
      </c>
      <c r="F81" s="140" t="s">
        <v>854</v>
      </c>
      <c r="G81" s="140" t="s">
        <v>857</v>
      </c>
      <c r="H81" s="140" t="s">
        <v>858</v>
      </c>
      <c r="I81" s="140" t="s">
        <v>854</v>
      </c>
      <c r="J81" s="140" t="s">
        <v>857</v>
      </c>
      <c r="K81" s="140" t="s">
        <v>858</v>
      </c>
      <c r="N81"/>
    </row>
    <row r="82" spans="1:14" ht="28">
      <c r="A82" s="4" t="s">
        <v>562</v>
      </c>
      <c r="C82" t="s">
        <v>563</v>
      </c>
      <c r="D82" t="s">
        <v>199</v>
      </c>
      <c r="E82" t="s">
        <v>196</v>
      </c>
      <c r="F82" s="140" t="s">
        <v>854</v>
      </c>
      <c r="G82" s="140" t="s">
        <v>857</v>
      </c>
      <c r="H82" s="140" t="s">
        <v>858</v>
      </c>
      <c r="I82" s="140" t="s">
        <v>832</v>
      </c>
      <c r="J82" s="140" t="s">
        <v>827</v>
      </c>
      <c r="K82" s="140" t="s">
        <v>828</v>
      </c>
      <c r="N82"/>
    </row>
    <row r="83" spans="1:14" ht="28">
      <c r="A83" s="4" t="s">
        <v>586</v>
      </c>
      <c r="C83" t="s">
        <v>587</v>
      </c>
      <c r="D83" t="s">
        <v>198</v>
      </c>
      <c r="E83" t="s">
        <v>195</v>
      </c>
      <c r="F83" s="140" t="s">
        <v>854</v>
      </c>
      <c r="G83" s="140" t="s">
        <v>857</v>
      </c>
      <c r="H83" s="140" t="s">
        <v>858</v>
      </c>
      <c r="I83" s="140" t="s">
        <v>856</v>
      </c>
      <c r="J83" s="140" t="s">
        <v>854</v>
      </c>
      <c r="K83" s="140" t="s">
        <v>857</v>
      </c>
      <c r="N83"/>
    </row>
    <row r="84" spans="1:14" ht="28">
      <c r="A84" s="4" t="s">
        <v>544</v>
      </c>
      <c r="C84" t="s">
        <v>545</v>
      </c>
      <c r="D84" t="s">
        <v>197</v>
      </c>
      <c r="E84" t="s">
        <v>200</v>
      </c>
      <c r="F84" s="140" t="s">
        <v>827</v>
      </c>
      <c r="G84" s="140" t="s">
        <v>828</v>
      </c>
      <c r="H84" s="140" t="s">
        <v>829</v>
      </c>
      <c r="I84" s="140" t="s">
        <v>856</v>
      </c>
      <c r="J84" s="140" t="s">
        <v>854</v>
      </c>
      <c r="K84" s="140" t="s">
        <v>857</v>
      </c>
      <c r="N84"/>
    </row>
    <row r="85" spans="1:14">
      <c r="N85"/>
    </row>
    <row r="86" spans="1:14">
      <c r="A86" s="4" t="s">
        <v>535</v>
      </c>
      <c r="B86" t="s">
        <v>811</v>
      </c>
      <c r="N86"/>
    </row>
    <row r="87" spans="1:14" ht="28">
      <c r="A87" s="4" t="s">
        <v>631</v>
      </c>
      <c r="C87" t="s">
        <v>632</v>
      </c>
      <c r="D87" t="s">
        <v>200</v>
      </c>
      <c r="E87" t="s">
        <v>197</v>
      </c>
      <c r="F87" s="140" t="s">
        <v>857</v>
      </c>
      <c r="G87" s="140" t="s">
        <v>858</v>
      </c>
      <c r="H87" s="140" t="s">
        <v>853</v>
      </c>
      <c r="I87" s="140" t="s">
        <v>855</v>
      </c>
      <c r="J87" s="140" t="s">
        <v>856</v>
      </c>
      <c r="K87" s="140" t="s">
        <v>854</v>
      </c>
      <c r="N87"/>
    </row>
    <row r="88" spans="1:14" ht="28">
      <c r="A88" s="4" t="s">
        <v>609</v>
      </c>
      <c r="C88" t="s">
        <v>610</v>
      </c>
      <c r="D88" t="s">
        <v>195</v>
      </c>
      <c r="E88" t="s">
        <v>198</v>
      </c>
      <c r="F88" s="140" t="s">
        <v>828</v>
      </c>
      <c r="G88" s="140" t="s">
        <v>829</v>
      </c>
      <c r="H88" s="140" t="s">
        <v>830</v>
      </c>
      <c r="I88" s="140" t="s">
        <v>855</v>
      </c>
      <c r="J88" s="140" t="s">
        <v>856</v>
      </c>
      <c r="K88" s="140" t="s">
        <v>854</v>
      </c>
      <c r="N88"/>
    </row>
    <row r="89" spans="1:14" ht="28">
      <c r="A89" s="4" t="s">
        <v>605</v>
      </c>
      <c r="C89" t="s">
        <v>606</v>
      </c>
      <c r="D89" t="s">
        <v>196</v>
      </c>
      <c r="E89" t="s">
        <v>199</v>
      </c>
      <c r="F89" s="140" t="s">
        <v>854</v>
      </c>
      <c r="G89" s="140" t="s">
        <v>857</v>
      </c>
      <c r="H89" s="140" t="s">
        <v>858</v>
      </c>
      <c r="I89" s="140" t="s">
        <v>855</v>
      </c>
      <c r="J89" s="140" t="s">
        <v>856</v>
      </c>
      <c r="K89" s="140" t="s">
        <v>854</v>
      </c>
      <c r="N89"/>
    </row>
    <row r="90" spans="1:14" ht="28">
      <c r="A90" s="4" t="s">
        <v>594</v>
      </c>
      <c r="C90" t="s">
        <v>595</v>
      </c>
      <c r="D90" t="s">
        <v>197</v>
      </c>
      <c r="E90" t="s">
        <v>200</v>
      </c>
      <c r="F90" s="140" t="s">
        <v>829</v>
      </c>
      <c r="G90" s="140" t="s">
        <v>830</v>
      </c>
      <c r="H90" s="140" t="s">
        <v>831</v>
      </c>
      <c r="I90" s="140" t="s">
        <v>831</v>
      </c>
      <c r="J90" s="140" t="s">
        <v>832</v>
      </c>
      <c r="K90" s="140" t="s">
        <v>827</v>
      </c>
      <c r="N90"/>
    </row>
    <row r="91" spans="1:14" ht="28">
      <c r="A91" s="4" t="s">
        <v>546</v>
      </c>
      <c r="C91" t="s">
        <v>547</v>
      </c>
      <c r="D91" t="s">
        <v>198</v>
      </c>
      <c r="E91" t="s">
        <v>195</v>
      </c>
      <c r="F91" s="140" t="s">
        <v>829</v>
      </c>
      <c r="G91" s="140" t="s">
        <v>830</v>
      </c>
      <c r="H91" s="140" t="s">
        <v>831</v>
      </c>
      <c r="I91" s="140" t="s">
        <v>853</v>
      </c>
      <c r="J91" s="140" t="s">
        <v>855</v>
      </c>
      <c r="K91" s="140" t="s">
        <v>856</v>
      </c>
      <c r="N91"/>
    </row>
    <row r="92" spans="1:14" ht="28">
      <c r="A92" s="4" t="s">
        <v>639</v>
      </c>
      <c r="C92" t="s">
        <v>640</v>
      </c>
      <c r="D92" t="s">
        <v>199</v>
      </c>
      <c r="E92" t="s">
        <v>196</v>
      </c>
      <c r="F92" s="140" t="s">
        <v>829</v>
      </c>
      <c r="G92" s="140" t="s">
        <v>830</v>
      </c>
      <c r="H92" s="140" t="s">
        <v>831</v>
      </c>
      <c r="I92" s="140" t="s">
        <v>830</v>
      </c>
      <c r="J92" s="140" t="s">
        <v>831</v>
      </c>
      <c r="K92" s="140" t="s">
        <v>832</v>
      </c>
      <c r="N92"/>
    </row>
    <row r="93" spans="1:14" ht="28">
      <c r="A93" s="4" t="s">
        <v>623</v>
      </c>
      <c r="C93" t="s">
        <v>624</v>
      </c>
      <c r="D93" t="s">
        <v>198</v>
      </c>
      <c r="E93" t="s">
        <v>195</v>
      </c>
      <c r="F93" s="140" t="s">
        <v>857</v>
      </c>
      <c r="G93" s="140" t="s">
        <v>858</v>
      </c>
      <c r="H93" s="140" t="s">
        <v>853</v>
      </c>
      <c r="I93" s="140" t="s">
        <v>830</v>
      </c>
      <c r="J93" s="140" t="s">
        <v>831</v>
      </c>
      <c r="K93" s="140" t="s">
        <v>832</v>
      </c>
      <c r="N93"/>
    </row>
    <row r="94" spans="1:14" ht="28">
      <c r="A94" s="4" t="s">
        <v>578</v>
      </c>
      <c r="C94" t="s">
        <v>579</v>
      </c>
      <c r="D94" t="s">
        <v>197</v>
      </c>
      <c r="E94" t="s">
        <v>200</v>
      </c>
      <c r="F94" s="140" t="s">
        <v>829</v>
      </c>
      <c r="G94" s="140" t="s">
        <v>830</v>
      </c>
      <c r="H94" s="140" t="s">
        <v>831</v>
      </c>
      <c r="I94" s="140" t="s">
        <v>855</v>
      </c>
      <c r="J94" s="140" t="s">
        <v>856</v>
      </c>
      <c r="K94" s="140" t="s">
        <v>854</v>
      </c>
      <c r="N94"/>
    </row>
    <row r="95" spans="1:14">
      <c r="N95"/>
    </row>
    <row r="96" spans="1:14">
      <c r="A96" s="4" t="s">
        <v>536</v>
      </c>
      <c r="B96" t="s">
        <v>812</v>
      </c>
      <c r="N96"/>
    </row>
    <row r="97" spans="1:14" ht="28">
      <c r="A97" s="4" t="s">
        <v>576</v>
      </c>
      <c r="C97" t="s">
        <v>577</v>
      </c>
      <c r="D97" t="s">
        <v>200</v>
      </c>
      <c r="E97" t="s">
        <v>197</v>
      </c>
      <c r="F97" s="140" t="s">
        <v>859</v>
      </c>
      <c r="G97" s="140" t="s">
        <v>861</v>
      </c>
      <c r="H97" s="140" t="s">
        <v>864</v>
      </c>
      <c r="I97" s="140" t="s">
        <v>866</v>
      </c>
      <c r="J97" s="140" t="s">
        <v>862</v>
      </c>
      <c r="K97" s="140" t="s">
        <v>868</v>
      </c>
      <c r="N97"/>
    </row>
    <row r="98" spans="1:14" ht="28">
      <c r="A98" s="4" t="s">
        <v>627</v>
      </c>
      <c r="C98" t="s">
        <v>628</v>
      </c>
      <c r="D98" t="s">
        <v>195</v>
      </c>
      <c r="E98" t="s">
        <v>198</v>
      </c>
      <c r="F98" s="140" t="s">
        <v>870</v>
      </c>
      <c r="G98" s="140" t="s">
        <v>830</v>
      </c>
      <c r="H98" s="140" t="s">
        <v>867</v>
      </c>
      <c r="I98" s="140" t="s">
        <v>866</v>
      </c>
      <c r="J98" s="140" t="s">
        <v>862</v>
      </c>
      <c r="K98" s="140" t="s">
        <v>868</v>
      </c>
      <c r="N98"/>
    </row>
    <row r="99" spans="1:14" ht="28">
      <c r="A99" s="4" t="s">
        <v>615</v>
      </c>
      <c r="C99" t="s">
        <v>616</v>
      </c>
      <c r="D99" t="s">
        <v>196</v>
      </c>
      <c r="E99" t="s">
        <v>199</v>
      </c>
      <c r="F99" s="140" t="s">
        <v>861</v>
      </c>
      <c r="G99" s="140" t="s">
        <v>864</v>
      </c>
      <c r="H99" s="140" t="s">
        <v>866</v>
      </c>
      <c r="I99" s="140" t="s">
        <v>866</v>
      </c>
      <c r="J99" s="140" t="s">
        <v>862</v>
      </c>
      <c r="K99" s="140" t="s">
        <v>868</v>
      </c>
      <c r="N99"/>
    </row>
    <row r="100" spans="1:14" ht="28">
      <c r="A100" s="4" t="s">
        <v>643</v>
      </c>
      <c r="C100" t="s">
        <v>644</v>
      </c>
      <c r="D100" t="s">
        <v>197</v>
      </c>
      <c r="E100" t="s">
        <v>200</v>
      </c>
      <c r="F100" s="140" t="s">
        <v>860</v>
      </c>
      <c r="G100" s="140" t="s">
        <v>870</v>
      </c>
      <c r="H100" s="140" t="s">
        <v>869</v>
      </c>
      <c r="I100" s="140" t="s">
        <v>866</v>
      </c>
      <c r="J100" s="140" t="s">
        <v>862</v>
      </c>
      <c r="K100" s="140" t="s">
        <v>868</v>
      </c>
      <c r="N100"/>
    </row>
    <row r="101" spans="1:14" ht="28">
      <c r="A101" s="4" t="s">
        <v>516</v>
      </c>
      <c r="C101" t="s">
        <v>517</v>
      </c>
      <c r="D101" t="s">
        <v>198</v>
      </c>
      <c r="E101" t="s">
        <v>195</v>
      </c>
      <c r="F101" s="140" t="s">
        <v>860</v>
      </c>
      <c r="G101" s="140" t="s">
        <v>870</v>
      </c>
      <c r="H101" s="140" t="s">
        <v>869</v>
      </c>
      <c r="I101" s="140" t="s">
        <v>863</v>
      </c>
      <c r="J101" s="140" t="s">
        <v>865</v>
      </c>
      <c r="K101" s="140" t="s">
        <v>860</v>
      </c>
      <c r="N101"/>
    </row>
    <row r="102" spans="1:14" ht="28">
      <c r="A102" s="4" t="s">
        <v>633</v>
      </c>
      <c r="C102" t="s">
        <v>634</v>
      </c>
      <c r="D102" t="s">
        <v>199</v>
      </c>
      <c r="E102" t="s">
        <v>196</v>
      </c>
      <c r="F102" s="140" t="s">
        <v>860</v>
      </c>
      <c r="G102" s="140" t="s">
        <v>870</v>
      </c>
      <c r="H102" s="140" t="s">
        <v>869</v>
      </c>
      <c r="I102" s="140" t="s">
        <v>862</v>
      </c>
      <c r="J102" s="140" t="s">
        <v>868</v>
      </c>
      <c r="K102" s="140" t="s">
        <v>859</v>
      </c>
      <c r="N102"/>
    </row>
    <row r="103" spans="1:14" ht="28">
      <c r="A103" s="4" t="s">
        <v>520</v>
      </c>
      <c r="C103" t="s">
        <v>521</v>
      </c>
      <c r="D103" t="s">
        <v>198</v>
      </c>
      <c r="E103" t="s">
        <v>195</v>
      </c>
      <c r="F103" s="140" t="s">
        <v>860</v>
      </c>
      <c r="G103" s="140" t="s">
        <v>870</v>
      </c>
      <c r="H103" s="140" t="s">
        <v>869</v>
      </c>
      <c r="I103" s="140" t="s">
        <v>869</v>
      </c>
      <c r="J103" s="140" t="s">
        <v>867</v>
      </c>
      <c r="K103" s="140" t="s">
        <v>863</v>
      </c>
      <c r="N103"/>
    </row>
    <row r="104" spans="1:14" ht="28">
      <c r="A104" s="4" t="s">
        <v>537</v>
      </c>
      <c r="C104" t="s">
        <v>539</v>
      </c>
      <c r="D104" t="s">
        <v>197</v>
      </c>
      <c r="E104" t="s">
        <v>200</v>
      </c>
      <c r="F104" s="140" t="s">
        <v>859</v>
      </c>
      <c r="G104" s="140" t="s">
        <v>861</v>
      </c>
      <c r="H104" s="140" t="s">
        <v>864</v>
      </c>
      <c r="I104" s="140" t="s">
        <v>869</v>
      </c>
      <c r="J104" s="140" t="s">
        <v>867</v>
      </c>
      <c r="K104" s="140" t="s">
        <v>863</v>
      </c>
      <c r="N104"/>
    </row>
    <row r="105" spans="1:14">
      <c r="A105" s="4"/>
      <c r="N105"/>
    </row>
    <row r="106" spans="1:14">
      <c r="A106" s="4" t="s">
        <v>538</v>
      </c>
      <c r="B106" t="s">
        <v>813</v>
      </c>
      <c r="N106"/>
    </row>
    <row r="107" spans="1:14" ht="28">
      <c r="A107" s="4" t="s">
        <v>617</v>
      </c>
      <c r="C107" t="s">
        <v>618</v>
      </c>
      <c r="D107" t="s">
        <v>200</v>
      </c>
      <c r="E107" t="s">
        <v>197</v>
      </c>
      <c r="F107" s="140" t="s">
        <v>871</v>
      </c>
      <c r="G107" s="140" t="s">
        <v>873</v>
      </c>
      <c r="H107" s="140" t="s">
        <v>875</v>
      </c>
      <c r="I107" s="140" t="s">
        <v>878</v>
      </c>
      <c r="J107" s="140" t="s">
        <v>880</v>
      </c>
      <c r="K107" s="140" t="s">
        <v>876</v>
      </c>
      <c r="N107"/>
    </row>
    <row r="108" spans="1:14" ht="28">
      <c r="A108" s="4" t="s">
        <v>548</v>
      </c>
      <c r="C108" t="s">
        <v>549</v>
      </c>
      <c r="D108" t="s">
        <v>195</v>
      </c>
      <c r="E108" t="s">
        <v>198</v>
      </c>
      <c r="F108" s="140" t="s">
        <v>877</v>
      </c>
      <c r="G108" s="140" t="s">
        <v>879</v>
      </c>
      <c r="H108" s="140" t="s">
        <v>874</v>
      </c>
      <c r="I108" s="140" t="s">
        <v>830</v>
      </c>
      <c r="J108" s="140" t="s">
        <v>831</v>
      </c>
      <c r="K108" s="140" t="s">
        <v>832</v>
      </c>
      <c r="N108"/>
    </row>
    <row r="109" spans="1:14" ht="28">
      <c r="A109" s="4" t="s">
        <v>596</v>
      </c>
      <c r="C109" t="s">
        <v>597</v>
      </c>
      <c r="D109" t="s">
        <v>196</v>
      </c>
      <c r="E109" t="s">
        <v>199</v>
      </c>
      <c r="F109" s="140" t="s">
        <v>873</v>
      </c>
      <c r="G109" s="140" t="s">
        <v>875</v>
      </c>
      <c r="H109" s="140" t="s">
        <v>878</v>
      </c>
      <c r="I109" s="140" t="s">
        <v>830</v>
      </c>
      <c r="J109" s="140" t="s">
        <v>831</v>
      </c>
      <c r="K109" s="140" t="s">
        <v>832</v>
      </c>
      <c r="N109"/>
    </row>
    <row r="110" spans="1:14" ht="28">
      <c r="A110" s="4" t="s">
        <v>580</v>
      </c>
      <c r="C110" t="s">
        <v>581</v>
      </c>
      <c r="D110" t="s">
        <v>197</v>
      </c>
      <c r="E110" t="s">
        <v>200</v>
      </c>
      <c r="F110" s="140" t="s">
        <v>882</v>
      </c>
      <c r="G110" s="140" t="s">
        <v>872</v>
      </c>
      <c r="H110" s="140" t="s">
        <v>881</v>
      </c>
      <c r="I110" s="140" t="s">
        <v>830</v>
      </c>
      <c r="J110" s="140" t="s">
        <v>831</v>
      </c>
      <c r="K110" s="140" t="s">
        <v>832</v>
      </c>
      <c r="N110"/>
    </row>
    <row r="111" spans="1:14" ht="28">
      <c r="A111" s="4" t="s">
        <v>607</v>
      </c>
      <c r="C111" t="s">
        <v>608</v>
      </c>
      <c r="D111" t="s">
        <v>198</v>
      </c>
      <c r="E111" t="s">
        <v>195</v>
      </c>
      <c r="F111" s="140" t="s">
        <v>882</v>
      </c>
      <c r="G111" s="140" t="s">
        <v>872</v>
      </c>
      <c r="H111" s="140" t="s">
        <v>881</v>
      </c>
      <c r="I111" s="140" t="s">
        <v>882</v>
      </c>
      <c r="J111" s="140" t="s">
        <v>872</v>
      </c>
      <c r="K111" s="140" t="s">
        <v>881</v>
      </c>
      <c r="N111"/>
    </row>
    <row r="112" spans="1:14" ht="28">
      <c r="A112" s="4" t="s">
        <v>611</v>
      </c>
      <c r="C112" t="s">
        <v>612</v>
      </c>
      <c r="D112" t="s">
        <v>199</v>
      </c>
      <c r="E112" t="s">
        <v>196</v>
      </c>
      <c r="F112" s="140" t="s">
        <v>882</v>
      </c>
      <c r="G112" s="140" t="s">
        <v>872</v>
      </c>
      <c r="H112" s="140" t="s">
        <v>881</v>
      </c>
      <c r="I112" s="140" t="s">
        <v>831</v>
      </c>
      <c r="J112" s="140" t="s">
        <v>832</v>
      </c>
      <c r="K112" s="140" t="s">
        <v>871</v>
      </c>
      <c r="N112"/>
    </row>
    <row r="113" spans="1:14" ht="28">
      <c r="A113" s="4" t="s">
        <v>572</v>
      </c>
      <c r="C113" t="s">
        <v>573</v>
      </c>
      <c r="D113" t="s">
        <v>198</v>
      </c>
      <c r="E113" t="s">
        <v>195</v>
      </c>
      <c r="F113" s="140" t="s">
        <v>882</v>
      </c>
      <c r="G113" s="140" t="s">
        <v>872</v>
      </c>
      <c r="H113" s="140" t="s">
        <v>881</v>
      </c>
      <c r="I113" s="140" t="s">
        <v>872</v>
      </c>
      <c r="J113" s="140" t="s">
        <v>881</v>
      </c>
      <c r="K113" s="140" t="s">
        <v>877</v>
      </c>
      <c r="N113"/>
    </row>
    <row r="114" spans="1:14" ht="28">
      <c r="A114" s="4" t="s">
        <v>550</v>
      </c>
      <c r="C114" t="s">
        <v>551</v>
      </c>
      <c r="D114" t="s">
        <v>197</v>
      </c>
      <c r="E114" t="s">
        <v>200</v>
      </c>
      <c r="F114" s="140" t="s">
        <v>827</v>
      </c>
      <c r="G114" s="140" t="s">
        <v>828</v>
      </c>
      <c r="H114" s="140" t="s">
        <v>829</v>
      </c>
      <c r="I114" s="140" t="s">
        <v>872</v>
      </c>
      <c r="J114" s="140" t="s">
        <v>881</v>
      </c>
      <c r="K114" s="140" t="s">
        <v>877</v>
      </c>
      <c r="N114"/>
    </row>
    <row r="115" spans="1:14">
      <c r="A115" s="4"/>
      <c r="N115"/>
    </row>
    <row r="116" spans="1:14">
      <c r="A116" s="4" t="s">
        <v>540</v>
      </c>
      <c r="B116" t="s">
        <v>814</v>
      </c>
      <c r="N116"/>
    </row>
    <row r="117" spans="1:14" ht="28">
      <c r="A117" s="4" t="s">
        <v>629</v>
      </c>
      <c r="C117" t="s">
        <v>630</v>
      </c>
      <c r="D117" t="s">
        <v>200</v>
      </c>
      <c r="E117" t="s">
        <v>197</v>
      </c>
      <c r="F117" s="140" t="s">
        <v>882</v>
      </c>
      <c r="G117" s="140" t="s">
        <v>872</v>
      </c>
      <c r="H117" s="140" t="s">
        <v>881</v>
      </c>
      <c r="I117" s="140" t="s">
        <v>877</v>
      </c>
      <c r="J117" s="140" t="s">
        <v>879</v>
      </c>
      <c r="K117" s="140" t="s">
        <v>874</v>
      </c>
      <c r="N117"/>
    </row>
    <row r="118" spans="1:14" ht="28">
      <c r="A118" s="4" t="s">
        <v>526</v>
      </c>
      <c r="C118" t="s">
        <v>527</v>
      </c>
      <c r="D118" t="s">
        <v>195</v>
      </c>
      <c r="E118" t="s">
        <v>198</v>
      </c>
      <c r="F118" s="140" t="s">
        <v>871</v>
      </c>
      <c r="G118" s="140" t="s">
        <v>873</v>
      </c>
      <c r="H118" s="140" t="s">
        <v>875</v>
      </c>
      <c r="I118" s="140" t="s">
        <v>877</v>
      </c>
      <c r="J118" s="140" t="s">
        <v>879</v>
      </c>
      <c r="K118" s="140" t="s">
        <v>874</v>
      </c>
      <c r="N118"/>
    </row>
    <row r="119" spans="1:14" ht="28">
      <c r="A119" s="4" t="s">
        <v>590</v>
      </c>
      <c r="C119" t="s">
        <v>591</v>
      </c>
      <c r="D119" t="s">
        <v>196</v>
      </c>
      <c r="E119" t="s">
        <v>199</v>
      </c>
      <c r="F119" s="140" t="s">
        <v>874</v>
      </c>
      <c r="G119" s="140" t="s">
        <v>882</v>
      </c>
      <c r="H119" s="140" t="s">
        <v>872</v>
      </c>
      <c r="I119" s="140" t="s">
        <v>877</v>
      </c>
      <c r="J119" s="140" t="s">
        <v>879</v>
      </c>
      <c r="K119" s="140" t="s">
        <v>874</v>
      </c>
      <c r="N119"/>
    </row>
    <row r="120" spans="1:14" ht="28">
      <c r="A120" s="4" t="s">
        <v>600</v>
      </c>
      <c r="C120" t="s">
        <v>601</v>
      </c>
      <c r="D120" t="s">
        <v>197</v>
      </c>
      <c r="E120" t="s">
        <v>200</v>
      </c>
      <c r="F120" s="140" t="s">
        <v>871</v>
      </c>
      <c r="G120" s="140" t="s">
        <v>873</v>
      </c>
      <c r="H120" s="140" t="s">
        <v>875</v>
      </c>
      <c r="I120" s="140" t="s">
        <v>877</v>
      </c>
      <c r="J120" s="140" t="s">
        <v>879</v>
      </c>
      <c r="K120" s="140" t="s">
        <v>874</v>
      </c>
      <c r="N120"/>
    </row>
    <row r="121" spans="1:14" ht="28">
      <c r="A121" s="4" t="s">
        <v>566</v>
      </c>
      <c r="C121" t="s">
        <v>567</v>
      </c>
      <c r="D121" t="s">
        <v>198</v>
      </c>
      <c r="E121" t="s">
        <v>195</v>
      </c>
      <c r="F121" s="140" t="s">
        <v>871</v>
      </c>
      <c r="G121" s="140" t="s">
        <v>873</v>
      </c>
      <c r="H121" s="140" t="s">
        <v>875</v>
      </c>
      <c r="I121" s="140" t="s">
        <v>878</v>
      </c>
      <c r="J121" s="140" t="s">
        <v>880</v>
      </c>
      <c r="K121" s="140" t="s">
        <v>876</v>
      </c>
      <c r="N121"/>
    </row>
    <row r="122" spans="1:14" ht="28">
      <c r="A122" s="4" t="s">
        <v>558</v>
      </c>
      <c r="C122" t="s">
        <v>559</v>
      </c>
      <c r="D122" t="s">
        <v>199</v>
      </c>
      <c r="E122" t="s">
        <v>196</v>
      </c>
      <c r="F122" s="140" t="s">
        <v>871</v>
      </c>
      <c r="G122" s="140" t="s">
        <v>873</v>
      </c>
      <c r="H122" s="140" t="s">
        <v>875</v>
      </c>
      <c r="I122" s="140" t="s">
        <v>881</v>
      </c>
      <c r="J122" s="140" t="s">
        <v>877</v>
      </c>
      <c r="K122" s="140" t="s">
        <v>879</v>
      </c>
      <c r="N122"/>
    </row>
    <row r="123" spans="1:14" ht="28">
      <c r="A123" s="4" t="s">
        <v>570</v>
      </c>
      <c r="C123" t="s">
        <v>571</v>
      </c>
      <c r="D123" t="s">
        <v>198</v>
      </c>
      <c r="E123" t="s">
        <v>195</v>
      </c>
      <c r="F123" s="140" t="s">
        <v>871</v>
      </c>
      <c r="G123" s="140" t="s">
        <v>873</v>
      </c>
      <c r="H123" s="140" t="s">
        <v>875</v>
      </c>
      <c r="I123" s="140" t="s">
        <v>876</v>
      </c>
      <c r="J123" s="140" t="s">
        <v>871</v>
      </c>
      <c r="K123" s="140" t="s">
        <v>873</v>
      </c>
      <c r="N123"/>
    </row>
    <row r="124" spans="1:14" ht="28">
      <c r="A124" s="4" t="s">
        <v>552</v>
      </c>
      <c r="C124" t="s">
        <v>553</v>
      </c>
      <c r="D124" t="s">
        <v>197</v>
      </c>
      <c r="E124" t="s">
        <v>200</v>
      </c>
      <c r="F124" s="140" t="s">
        <v>882</v>
      </c>
      <c r="G124" s="140" t="s">
        <v>872</v>
      </c>
      <c r="H124" s="140" t="s">
        <v>881</v>
      </c>
      <c r="I124" s="140" t="s">
        <v>876</v>
      </c>
      <c r="J124" s="140" t="s">
        <v>871</v>
      </c>
      <c r="K124" s="140" t="s">
        <v>873</v>
      </c>
      <c r="N124"/>
    </row>
    <row r="125" spans="1:14">
      <c r="A125" s="4"/>
      <c r="N125"/>
    </row>
    <row r="126" spans="1:14">
      <c r="A126" s="4" t="s">
        <v>541</v>
      </c>
      <c r="B126" t="s">
        <v>815</v>
      </c>
      <c r="N126"/>
    </row>
    <row r="127" spans="1:14" ht="28">
      <c r="A127" s="4" t="s">
        <v>574</v>
      </c>
      <c r="C127" t="s">
        <v>575</v>
      </c>
      <c r="D127" t="s">
        <v>200</v>
      </c>
      <c r="E127" t="s">
        <v>197</v>
      </c>
      <c r="F127" s="140" t="s">
        <v>883</v>
      </c>
      <c r="G127" s="140" t="s">
        <v>884</v>
      </c>
      <c r="H127" s="140" t="s">
        <v>889</v>
      </c>
      <c r="I127" s="140" t="s">
        <v>893</v>
      </c>
      <c r="J127" s="140" t="s">
        <v>886</v>
      </c>
      <c r="K127" s="140" t="s">
        <v>891</v>
      </c>
      <c r="N127"/>
    </row>
    <row r="128" spans="1:14" ht="28">
      <c r="A128" s="4" t="s">
        <v>635</v>
      </c>
      <c r="C128" t="s">
        <v>636</v>
      </c>
      <c r="D128" t="s">
        <v>195</v>
      </c>
      <c r="E128" t="s">
        <v>198</v>
      </c>
      <c r="F128" s="140" t="s">
        <v>890</v>
      </c>
      <c r="G128" s="140" t="s">
        <v>888</v>
      </c>
      <c r="H128" s="140" t="s">
        <v>885</v>
      </c>
      <c r="I128" s="140" t="s">
        <v>893</v>
      </c>
      <c r="J128" s="140" t="s">
        <v>886</v>
      </c>
      <c r="K128" s="140" t="s">
        <v>891</v>
      </c>
      <c r="N128"/>
    </row>
    <row r="129" spans="1:14" ht="28">
      <c r="A129" s="4" t="s">
        <v>515</v>
      </c>
      <c r="C129" t="s">
        <v>512</v>
      </c>
      <c r="D129" t="s">
        <v>196</v>
      </c>
      <c r="E129" t="s">
        <v>199</v>
      </c>
      <c r="F129" s="140" t="s">
        <v>891</v>
      </c>
      <c r="G129" s="140" t="s">
        <v>883</v>
      </c>
      <c r="H129" s="140" t="s">
        <v>884</v>
      </c>
      <c r="I129" s="140" t="s">
        <v>893</v>
      </c>
      <c r="J129" s="140" t="s">
        <v>886</v>
      </c>
      <c r="K129" s="140" t="s">
        <v>891</v>
      </c>
      <c r="N129"/>
    </row>
    <row r="130" spans="1:14" ht="28">
      <c r="A130" s="4" t="s">
        <v>641</v>
      </c>
      <c r="C130" t="s">
        <v>642</v>
      </c>
      <c r="D130" t="s">
        <v>197</v>
      </c>
      <c r="E130" t="s">
        <v>200</v>
      </c>
      <c r="F130" s="140" t="s">
        <v>888</v>
      </c>
      <c r="G130" s="140" t="s">
        <v>885</v>
      </c>
      <c r="H130" s="140" t="s">
        <v>892</v>
      </c>
      <c r="I130" s="140" t="s">
        <v>893</v>
      </c>
      <c r="J130" s="140" t="s">
        <v>886</v>
      </c>
      <c r="K130" s="140" t="s">
        <v>891</v>
      </c>
      <c r="N130"/>
    </row>
    <row r="131" spans="1:14" ht="28">
      <c r="A131" s="4" t="s">
        <v>613</v>
      </c>
      <c r="C131" t="s">
        <v>614</v>
      </c>
      <c r="D131" t="s">
        <v>198</v>
      </c>
      <c r="E131" t="s">
        <v>195</v>
      </c>
      <c r="F131" s="140" t="s">
        <v>888</v>
      </c>
      <c r="G131" s="140" t="s">
        <v>885</v>
      </c>
      <c r="H131" s="140" t="s">
        <v>892</v>
      </c>
      <c r="I131" s="140" t="s">
        <v>892</v>
      </c>
      <c r="J131" s="140" t="s">
        <v>894</v>
      </c>
      <c r="K131" s="140" t="s">
        <v>887</v>
      </c>
      <c r="N131"/>
    </row>
    <row r="132" spans="1:14" ht="28">
      <c r="A132" s="4" t="s">
        <v>625</v>
      </c>
      <c r="C132" t="s">
        <v>626</v>
      </c>
      <c r="D132" t="s">
        <v>199</v>
      </c>
      <c r="E132" t="s">
        <v>196</v>
      </c>
      <c r="F132" s="140" t="s">
        <v>888</v>
      </c>
      <c r="G132" s="140" t="s">
        <v>885</v>
      </c>
      <c r="H132" s="140" t="s">
        <v>892</v>
      </c>
      <c r="I132" s="140" t="s">
        <v>889</v>
      </c>
      <c r="J132" s="140" t="s">
        <v>893</v>
      </c>
      <c r="K132" s="140" t="s">
        <v>886</v>
      </c>
      <c r="N132"/>
    </row>
    <row r="133" spans="1:14" ht="28">
      <c r="A133" s="4" t="s">
        <v>588</v>
      </c>
      <c r="C133" t="s">
        <v>589</v>
      </c>
      <c r="D133" t="s">
        <v>198</v>
      </c>
      <c r="E133" t="s">
        <v>195</v>
      </c>
      <c r="F133" s="140" t="s">
        <v>888</v>
      </c>
      <c r="G133" s="140" t="s">
        <v>885</v>
      </c>
      <c r="H133" s="140" t="s">
        <v>892</v>
      </c>
      <c r="I133" s="140" t="s">
        <v>885</v>
      </c>
      <c r="J133" s="140" t="s">
        <v>892</v>
      </c>
      <c r="K133" s="140" t="s">
        <v>894</v>
      </c>
      <c r="N133"/>
    </row>
    <row r="134" spans="1:14" ht="28">
      <c r="A134" s="4" t="s">
        <v>522</v>
      </c>
      <c r="C134" t="s">
        <v>523</v>
      </c>
      <c r="D134" t="s">
        <v>197</v>
      </c>
      <c r="E134" t="s">
        <v>200</v>
      </c>
      <c r="F134" s="140" t="s">
        <v>883</v>
      </c>
      <c r="G134" s="140" t="s">
        <v>884</v>
      </c>
      <c r="H134" s="140" t="s">
        <v>889</v>
      </c>
      <c r="I134" s="140" t="s">
        <v>885</v>
      </c>
      <c r="J134" s="140" t="s">
        <v>892</v>
      </c>
      <c r="K134" s="140" t="s">
        <v>894</v>
      </c>
      <c r="N134"/>
    </row>
    <row r="135" spans="1:14">
      <c r="A135" s="4"/>
      <c r="N135"/>
    </row>
    <row r="136" spans="1:14">
      <c r="A136" s="4" t="s">
        <v>543</v>
      </c>
      <c r="B136" t="s">
        <v>816</v>
      </c>
      <c r="N136"/>
    </row>
    <row r="137" spans="1:14" ht="28">
      <c r="A137" s="4" t="s">
        <v>619</v>
      </c>
      <c r="C137" t="s">
        <v>620</v>
      </c>
      <c r="D137" t="s">
        <v>200</v>
      </c>
      <c r="E137" t="s">
        <v>197</v>
      </c>
      <c r="F137" s="140" t="s">
        <v>895</v>
      </c>
      <c r="G137" s="140" t="s">
        <v>899</v>
      </c>
      <c r="H137" s="140" t="s">
        <v>901</v>
      </c>
      <c r="I137" s="140" t="s">
        <v>896</v>
      </c>
      <c r="J137" s="140" t="s">
        <v>903</v>
      </c>
      <c r="K137" s="140" t="s">
        <v>905</v>
      </c>
      <c r="N137"/>
    </row>
    <row r="138" spans="1:14" ht="28">
      <c r="A138" s="4" t="s">
        <v>560</v>
      </c>
      <c r="C138" t="s">
        <v>561</v>
      </c>
      <c r="D138" t="s">
        <v>195</v>
      </c>
      <c r="E138" t="s">
        <v>198</v>
      </c>
      <c r="F138" s="140" t="s">
        <v>906</v>
      </c>
      <c r="G138" s="140" t="s">
        <v>897</v>
      </c>
      <c r="H138" s="140" t="s">
        <v>904</v>
      </c>
      <c r="I138" s="140" t="s">
        <v>896</v>
      </c>
      <c r="J138" s="140" t="s">
        <v>903</v>
      </c>
      <c r="K138" s="140" t="s">
        <v>905</v>
      </c>
      <c r="N138"/>
    </row>
    <row r="139" spans="1:14" ht="28">
      <c r="A139" s="4" t="s">
        <v>598</v>
      </c>
      <c r="C139" t="s">
        <v>599</v>
      </c>
      <c r="D139" t="s">
        <v>196</v>
      </c>
      <c r="E139" t="s">
        <v>199</v>
      </c>
      <c r="F139" s="140" t="s">
        <v>900</v>
      </c>
      <c r="G139" s="140" t="s">
        <v>906</v>
      </c>
      <c r="H139" s="140" t="s">
        <v>897</v>
      </c>
      <c r="I139" s="140" t="s">
        <v>896</v>
      </c>
      <c r="J139" s="140" t="s">
        <v>903</v>
      </c>
      <c r="K139" s="140" t="s">
        <v>905</v>
      </c>
      <c r="N139"/>
    </row>
    <row r="140" spans="1:14" ht="28">
      <c r="A140" s="4" t="s">
        <v>592</v>
      </c>
      <c r="C140" t="s">
        <v>593</v>
      </c>
      <c r="D140" t="s">
        <v>197</v>
      </c>
      <c r="E140" t="s">
        <v>200</v>
      </c>
      <c r="F140" s="140" t="s">
        <v>900</v>
      </c>
      <c r="G140" s="140" t="s">
        <v>906</v>
      </c>
      <c r="H140" s="140" t="s">
        <v>897</v>
      </c>
      <c r="I140" s="140" t="s">
        <v>902</v>
      </c>
      <c r="J140" s="140" t="s">
        <v>898</v>
      </c>
      <c r="K140" s="140" t="s">
        <v>900</v>
      </c>
      <c r="N140"/>
    </row>
    <row r="141" spans="1:14" ht="28">
      <c r="A141" s="4" t="s">
        <v>528</v>
      </c>
      <c r="C141" t="s">
        <v>529</v>
      </c>
      <c r="D141" t="s">
        <v>198</v>
      </c>
      <c r="E141" t="s">
        <v>195</v>
      </c>
      <c r="F141" s="140" t="s">
        <v>900</v>
      </c>
      <c r="G141" s="140" t="s">
        <v>906</v>
      </c>
      <c r="H141" s="140" t="s">
        <v>897</v>
      </c>
      <c r="I141" s="140" t="s">
        <v>899</v>
      </c>
      <c r="J141" s="140" t="s">
        <v>901</v>
      </c>
      <c r="K141" s="140" t="s">
        <v>896</v>
      </c>
      <c r="N141"/>
    </row>
    <row r="142" spans="1:14" ht="28">
      <c r="A142" s="4" t="s">
        <v>637</v>
      </c>
      <c r="C142" t="s">
        <v>638</v>
      </c>
      <c r="D142" t="s">
        <v>199</v>
      </c>
      <c r="E142" t="s">
        <v>196</v>
      </c>
      <c r="F142" s="140" t="s">
        <v>900</v>
      </c>
      <c r="G142" s="140" t="s">
        <v>906</v>
      </c>
      <c r="H142" s="140" t="s">
        <v>897</v>
      </c>
      <c r="I142" s="140" t="s">
        <v>898</v>
      </c>
      <c r="J142" s="140" t="s">
        <v>900</v>
      </c>
      <c r="K142" s="140" t="s">
        <v>906</v>
      </c>
      <c r="N142"/>
    </row>
    <row r="143" spans="1:14" ht="28">
      <c r="A143" t="s">
        <v>621</v>
      </c>
      <c r="C143" t="s">
        <v>622</v>
      </c>
      <c r="D143" t="s">
        <v>198</v>
      </c>
      <c r="E143" t="s">
        <v>195</v>
      </c>
      <c r="F143" s="140" t="s">
        <v>895</v>
      </c>
      <c r="G143" s="140" t="s">
        <v>899</v>
      </c>
      <c r="H143" s="140" t="s">
        <v>901</v>
      </c>
      <c r="I143" s="140" t="s">
        <v>898</v>
      </c>
      <c r="J143" s="140" t="s">
        <v>900</v>
      </c>
      <c r="K143" s="140" t="s">
        <v>906</v>
      </c>
      <c r="N143"/>
    </row>
    <row r="144" spans="1:14" ht="28">
      <c r="A144" t="s">
        <v>568</v>
      </c>
      <c r="C144" t="s">
        <v>569</v>
      </c>
      <c r="D144" t="s">
        <v>197</v>
      </c>
      <c r="E144" t="s">
        <v>200</v>
      </c>
      <c r="F144" s="140" t="s">
        <v>827</v>
      </c>
      <c r="G144" s="140" t="s">
        <v>828</v>
      </c>
      <c r="H144" s="140" t="s">
        <v>829</v>
      </c>
      <c r="I144" s="140" t="s">
        <v>896</v>
      </c>
      <c r="J144" s="140" t="s">
        <v>903</v>
      </c>
      <c r="K144" s="140" t="s">
        <v>905</v>
      </c>
      <c r="N144"/>
    </row>
    <row r="145" spans="1:17">
      <c r="N145"/>
    </row>
    <row r="146" spans="1:17">
      <c r="A146" s="4" t="s">
        <v>542</v>
      </c>
      <c r="B146" t="s">
        <v>817</v>
      </c>
      <c r="N146"/>
    </row>
    <row r="147" spans="1:17" ht="28">
      <c r="A147" s="4" t="s">
        <v>514</v>
      </c>
      <c r="C147" t="s">
        <v>511</v>
      </c>
      <c r="D147" t="s">
        <v>200</v>
      </c>
      <c r="E147" t="s">
        <v>197</v>
      </c>
      <c r="F147" s="140" t="s">
        <v>898</v>
      </c>
      <c r="G147" s="140" t="s">
        <v>900</v>
      </c>
      <c r="H147" s="140" t="s">
        <v>906</v>
      </c>
      <c r="I147" s="140" t="s">
        <v>897</v>
      </c>
      <c r="J147" s="140" t="s">
        <v>904</v>
      </c>
      <c r="K147" s="140" t="s">
        <v>902</v>
      </c>
      <c r="N147"/>
    </row>
    <row r="148" spans="1:17" ht="28">
      <c r="A148" s="4" t="s">
        <v>564</v>
      </c>
      <c r="C148" t="s">
        <v>565</v>
      </c>
      <c r="D148" t="s">
        <v>195</v>
      </c>
      <c r="E148" t="s">
        <v>198</v>
      </c>
      <c r="F148" s="140" t="s">
        <v>827</v>
      </c>
      <c r="G148" s="140" t="s">
        <v>828</v>
      </c>
      <c r="H148" s="140" t="s">
        <v>829</v>
      </c>
      <c r="I148" s="140" t="s">
        <v>897</v>
      </c>
      <c r="J148" s="140" t="s">
        <v>904</v>
      </c>
      <c r="K148" s="140" t="s">
        <v>902</v>
      </c>
      <c r="N148"/>
    </row>
    <row r="149" spans="1:17" ht="28">
      <c r="A149" s="4" t="s">
        <v>554</v>
      </c>
      <c r="C149" t="s">
        <v>555</v>
      </c>
      <c r="D149" t="s">
        <v>196</v>
      </c>
      <c r="E149" t="s">
        <v>199</v>
      </c>
      <c r="F149" s="140" t="s">
        <v>900</v>
      </c>
      <c r="G149" s="140" t="s">
        <v>906</v>
      </c>
      <c r="H149" s="140" t="s">
        <v>897</v>
      </c>
      <c r="I149" s="140" t="s">
        <v>897</v>
      </c>
      <c r="J149" s="140" t="s">
        <v>904</v>
      </c>
      <c r="K149" s="140" t="s">
        <v>902</v>
      </c>
      <c r="N149"/>
    </row>
    <row r="150" spans="1:17" ht="28">
      <c r="A150" s="4" t="s">
        <v>530</v>
      </c>
      <c r="C150" t="s">
        <v>531</v>
      </c>
      <c r="D150" t="s">
        <v>197</v>
      </c>
      <c r="E150" t="s">
        <v>200</v>
      </c>
      <c r="F150" s="140" t="s">
        <v>827</v>
      </c>
      <c r="G150" s="140" t="s">
        <v>828</v>
      </c>
      <c r="H150" s="140" t="s">
        <v>829</v>
      </c>
      <c r="I150" s="140" t="s">
        <v>897</v>
      </c>
      <c r="J150" s="140" t="s">
        <v>904</v>
      </c>
      <c r="K150" s="140" t="s">
        <v>902</v>
      </c>
      <c r="N150"/>
    </row>
    <row r="151" spans="1:17" ht="28">
      <c r="A151" s="4" t="s">
        <v>584</v>
      </c>
      <c r="C151" t="s">
        <v>585</v>
      </c>
      <c r="D151" t="s">
        <v>198</v>
      </c>
      <c r="E151" t="s">
        <v>195</v>
      </c>
      <c r="F151" s="140" t="s">
        <v>827</v>
      </c>
      <c r="G151" s="140" t="s">
        <v>828</v>
      </c>
      <c r="H151" s="140" t="s">
        <v>829</v>
      </c>
      <c r="I151" s="140" t="s">
        <v>899</v>
      </c>
      <c r="J151" s="140" t="s">
        <v>901</v>
      </c>
      <c r="K151" s="140" t="s">
        <v>896</v>
      </c>
      <c r="N151"/>
    </row>
    <row r="152" spans="1:17" ht="28">
      <c r="A152" s="4" t="s">
        <v>602</v>
      </c>
      <c r="C152" t="s">
        <v>603</v>
      </c>
      <c r="D152" t="s">
        <v>199</v>
      </c>
      <c r="E152" t="s">
        <v>196</v>
      </c>
      <c r="F152" s="140" t="s">
        <v>827</v>
      </c>
      <c r="G152" s="140" t="s">
        <v>828</v>
      </c>
      <c r="H152" s="140" t="s">
        <v>829</v>
      </c>
      <c r="I152" s="140" t="s">
        <v>904</v>
      </c>
      <c r="J152" s="140" t="s">
        <v>902</v>
      </c>
      <c r="K152" s="140" t="s">
        <v>898</v>
      </c>
      <c r="N152"/>
    </row>
    <row r="153" spans="1:17" ht="28">
      <c r="A153" s="4" t="s">
        <v>518</v>
      </c>
      <c r="C153" t="s">
        <v>519</v>
      </c>
      <c r="D153" t="s">
        <v>198</v>
      </c>
      <c r="E153" t="s">
        <v>195</v>
      </c>
      <c r="F153" s="140" t="s">
        <v>827</v>
      </c>
      <c r="G153" s="140" t="s">
        <v>828</v>
      </c>
      <c r="H153" s="140" t="s">
        <v>829</v>
      </c>
      <c r="I153" s="140" t="s">
        <v>901</v>
      </c>
      <c r="J153" s="140" t="s">
        <v>896</v>
      </c>
      <c r="K153" s="140" t="s">
        <v>903</v>
      </c>
      <c r="N153"/>
    </row>
    <row r="154" spans="1:17" ht="28">
      <c r="A154" s="4" t="s">
        <v>524</v>
      </c>
      <c r="C154" t="s">
        <v>525</v>
      </c>
      <c r="D154" t="s">
        <v>197</v>
      </c>
      <c r="E154" t="s">
        <v>200</v>
      </c>
      <c r="F154" s="140" t="s">
        <v>898</v>
      </c>
      <c r="G154" s="140" t="s">
        <v>900</v>
      </c>
      <c r="H154" s="140" t="s">
        <v>906</v>
      </c>
      <c r="I154" s="140" t="s">
        <v>901</v>
      </c>
      <c r="J154" s="140" t="s">
        <v>896</v>
      </c>
      <c r="K154" s="140" t="s">
        <v>903</v>
      </c>
      <c r="N154"/>
    </row>
    <row r="155" spans="1:17">
      <c r="A155" s="4"/>
      <c r="F155" s="140"/>
      <c r="G155" s="140"/>
      <c r="H155" s="140"/>
      <c r="I155" s="140"/>
      <c r="J155" s="140"/>
      <c r="K155" s="140"/>
      <c r="N155"/>
    </row>
    <row r="156" spans="1:17">
      <c r="A156" s="4"/>
      <c r="F156" s="140"/>
      <c r="G156" s="140"/>
      <c r="H156" s="140"/>
      <c r="I156" s="140"/>
      <c r="J156" s="140"/>
      <c r="K156" s="140"/>
      <c r="N156"/>
    </row>
    <row r="157" spans="1:17" ht="14.5" thickBot="1">
      <c r="A157" s="4"/>
      <c r="F157" s="140"/>
      <c r="G157" s="140"/>
      <c r="H157" s="140"/>
      <c r="I157" s="140"/>
      <c r="J157" s="140"/>
      <c r="K157" s="140"/>
      <c r="N157"/>
    </row>
    <row r="158" spans="1:17">
      <c r="G158" s="169" t="s">
        <v>909</v>
      </c>
      <c r="H158" s="162"/>
      <c r="I158" s="162"/>
      <c r="J158" s="162"/>
      <c r="K158" s="162"/>
      <c r="L158" s="162"/>
      <c r="M158" s="162"/>
      <c r="N158" s="162"/>
      <c r="O158" s="162"/>
      <c r="P158" s="162"/>
      <c r="Q158" s="163"/>
    </row>
    <row r="159" spans="1:17">
      <c r="G159" s="13" t="s">
        <v>957</v>
      </c>
      <c r="H159" s="165"/>
      <c r="I159" s="165" t="s">
        <v>910</v>
      </c>
      <c r="J159" s="165"/>
      <c r="K159" s="165"/>
      <c r="L159" s="165"/>
      <c r="M159" s="165"/>
      <c r="N159" s="165"/>
      <c r="O159" s="165"/>
      <c r="P159" s="165"/>
      <c r="Q159" s="166"/>
    </row>
    <row r="160" spans="1:17">
      <c r="G160" s="13"/>
      <c r="H160" s="165"/>
      <c r="I160" s="165"/>
      <c r="J160" s="165"/>
      <c r="K160" s="165"/>
      <c r="L160" s="165"/>
      <c r="M160" s="165"/>
      <c r="N160" s="165"/>
      <c r="O160" s="165"/>
      <c r="P160" s="165"/>
      <c r="Q160" s="166"/>
    </row>
    <row r="161" spans="7:17">
      <c r="G161" s="164" t="s">
        <v>915</v>
      </c>
      <c r="H161" s="165"/>
      <c r="I161" s="165"/>
      <c r="J161" s="165"/>
      <c r="K161" s="165"/>
      <c r="L161" s="165"/>
      <c r="M161" s="165"/>
      <c r="N161" s="165"/>
      <c r="O161" s="165"/>
      <c r="P161" s="165"/>
      <c r="Q161" s="166"/>
    </row>
    <row r="162" spans="7:17">
      <c r="G162" s="13" t="s">
        <v>961</v>
      </c>
      <c r="H162" s="165"/>
      <c r="I162" s="165" t="s">
        <v>916</v>
      </c>
      <c r="J162" s="165"/>
      <c r="K162" s="165"/>
      <c r="L162" s="165"/>
      <c r="M162" s="165"/>
      <c r="N162" s="165"/>
      <c r="O162" s="165"/>
      <c r="P162" s="165"/>
      <c r="Q162" s="166"/>
    </row>
    <row r="163" spans="7:17">
      <c r="G163" s="13"/>
      <c r="H163" s="165"/>
      <c r="I163" s="165"/>
      <c r="J163" s="165"/>
      <c r="K163" s="165"/>
      <c r="L163" s="165"/>
      <c r="M163" s="165"/>
      <c r="N163" s="165"/>
      <c r="O163" s="165"/>
      <c r="P163" s="165"/>
      <c r="Q163" s="166"/>
    </row>
    <row r="164" spans="7:17">
      <c r="G164" s="164" t="s">
        <v>911</v>
      </c>
      <c r="H164" s="165"/>
      <c r="I164" s="165"/>
      <c r="J164" s="165"/>
      <c r="K164" s="165"/>
      <c r="L164" s="165"/>
      <c r="M164" s="165"/>
      <c r="N164" s="165"/>
      <c r="O164" s="165"/>
      <c r="P164" s="165"/>
      <c r="Q164" s="166"/>
    </row>
    <row r="165" spans="7:17">
      <c r="G165" s="13" t="s">
        <v>959</v>
      </c>
      <c r="H165" s="165"/>
      <c r="I165" s="165" t="s">
        <v>912</v>
      </c>
      <c r="J165" s="165"/>
      <c r="K165" s="165"/>
      <c r="L165" s="165"/>
      <c r="M165" s="165"/>
      <c r="N165" s="165"/>
      <c r="O165" s="165"/>
      <c r="P165" s="165"/>
      <c r="Q165" s="166"/>
    </row>
    <row r="166" spans="7:17">
      <c r="G166" s="13"/>
      <c r="H166" s="165"/>
      <c r="I166" s="165"/>
      <c r="J166" s="165"/>
      <c r="K166" s="165"/>
      <c r="L166" s="165"/>
      <c r="M166" s="165"/>
      <c r="N166" s="165"/>
      <c r="O166" s="165"/>
      <c r="P166" s="165"/>
      <c r="Q166" s="166"/>
    </row>
    <row r="167" spans="7:17">
      <c r="G167" s="164" t="s">
        <v>913</v>
      </c>
      <c r="H167" s="165"/>
      <c r="I167" s="165"/>
      <c r="J167" s="165"/>
      <c r="K167" s="165"/>
      <c r="L167" s="165"/>
      <c r="M167" s="165"/>
      <c r="N167" s="165"/>
      <c r="O167" s="165"/>
      <c r="P167" s="165"/>
      <c r="Q167" s="166"/>
    </row>
    <row r="168" spans="7:17">
      <c r="G168" s="13" t="s">
        <v>960</v>
      </c>
      <c r="H168" s="165"/>
      <c r="I168" s="165" t="s">
        <v>914</v>
      </c>
      <c r="J168" s="165"/>
      <c r="K168" s="165"/>
      <c r="L168" s="165"/>
      <c r="M168" s="165"/>
      <c r="N168" s="165"/>
      <c r="O168" s="165"/>
      <c r="P168" s="165"/>
      <c r="Q168" s="166"/>
    </row>
    <row r="169" spans="7:17">
      <c r="G169" s="13"/>
      <c r="H169" s="165"/>
      <c r="I169" s="165"/>
      <c r="J169" s="165"/>
      <c r="K169" s="165"/>
      <c r="L169" s="165"/>
      <c r="M169" s="165"/>
      <c r="N169" s="165"/>
      <c r="O169" s="165"/>
      <c r="P169" s="165"/>
      <c r="Q169" s="166"/>
    </row>
    <row r="170" spans="7:17">
      <c r="G170" s="164" t="s">
        <v>917</v>
      </c>
      <c r="H170" s="165"/>
      <c r="I170" s="165"/>
      <c r="J170" s="165"/>
      <c r="K170" s="165"/>
      <c r="L170" s="165"/>
      <c r="M170" s="165"/>
      <c r="N170" s="165"/>
      <c r="O170" s="165"/>
      <c r="P170" s="165"/>
      <c r="Q170" s="166"/>
    </row>
    <row r="171" spans="7:17">
      <c r="G171" s="13" t="s">
        <v>958</v>
      </c>
      <c r="H171" s="165"/>
      <c r="I171" s="165" t="s">
        <v>918</v>
      </c>
      <c r="J171" s="165"/>
      <c r="K171" s="165"/>
      <c r="L171" s="165"/>
      <c r="M171" s="165"/>
      <c r="N171" s="165"/>
      <c r="O171" s="165"/>
      <c r="P171" s="165"/>
      <c r="Q171" s="166"/>
    </row>
    <row r="172" spans="7:17">
      <c r="G172" s="164"/>
      <c r="H172" s="165"/>
      <c r="I172" s="165"/>
      <c r="J172" s="165"/>
      <c r="K172" s="165"/>
      <c r="L172" s="165"/>
      <c r="M172" s="165"/>
      <c r="N172" s="165"/>
      <c r="O172" s="165"/>
      <c r="P172" s="165"/>
      <c r="Q172" s="166"/>
    </row>
    <row r="173" spans="7:17">
      <c r="G173" s="13" t="s">
        <v>992</v>
      </c>
      <c r="H173" s="165"/>
      <c r="I173" s="165"/>
      <c r="J173" s="165"/>
      <c r="K173" s="165"/>
      <c r="L173" s="165"/>
      <c r="M173" s="165"/>
      <c r="N173" s="165"/>
      <c r="O173" s="165"/>
      <c r="P173" s="165"/>
      <c r="Q173" s="166"/>
    </row>
    <row r="174" spans="7:17">
      <c r="G174" s="13" t="s">
        <v>955</v>
      </c>
      <c r="H174" s="165"/>
      <c r="I174" s="165"/>
      <c r="J174" s="165"/>
      <c r="K174" s="165"/>
      <c r="L174" s="165"/>
      <c r="M174" s="165"/>
      <c r="N174" s="165"/>
      <c r="O174" s="165"/>
      <c r="P174" s="165"/>
      <c r="Q174" s="166"/>
    </row>
    <row r="175" spans="7:17" ht="14.5" thickBot="1">
      <c r="G175" s="15" t="s">
        <v>956</v>
      </c>
      <c r="H175" s="167"/>
      <c r="I175" s="167"/>
      <c r="J175" s="167"/>
      <c r="K175" s="167"/>
      <c r="L175" s="167"/>
      <c r="M175" s="167"/>
      <c r="N175" s="167"/>
      <c r="O175" s="167"/>
      <c r="P175" s="167"/>
      <c r="Q175" s="168"/>
    </row>
  </sheetData>
  <mergeCells count="5">
    <mergeCell ref="L5:L6"/>
    <mergeCell ref="P5:P6"/>
    <mergeCell ref="P18:Q18"/>
    <mergeCell ref="L2:L3"/>
    <mergeCell ref="P2:P3"/>
  </mergeCells>
  <phoneticPr fontId="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爻卦开始">
                <anchor moveWithCells="1" sizeWithCells="1">
                  <from>
                    <xdr:col>7</xdr:col>
                    <xdr:colOff>438150</xdr:colOff>
                    <xdr:row>7</xdr:row>
                    <xdr:rowOff>107950</xdr:rowOff>
                  </from>
                  <to>
                    <xdr:col>9</xdr:col>
                    <xdr:colOff>177800</xdr:colOff>
                    <xdr:row>8</xdr:row>
                    <xdr:rowOff>152400</xdr:rowOff>
                  </to>
                </anchor>
              </controlPr>
            </control>
          </mc:Choice>
        </mc:AlternateContent>
        <mc:AlternateContent xmlns:mc="http://schemas.openxmlformats.org/markup-compatibility/2006">
          <mc:Choice Requires="x14">
            <control shapeId="10242" r:id="rId4" name="Button 2">
              <controlPr defaultSize="0" print="0" autoFill="0" autoPict="0" macro="[0]!爻卦停止">
                <anchor moveWithCells="1" sizeWithCells="1">
                  <from>
                    <xdr:col>7</xdr:col>
                    <xdr:colOff>425450</xdr:colOff>
                    <xdr:row>9</xdr:row>
                    <xdr:rowOff>95250</xdr:rowOff>
                  </from>
                  <to>
                    <xdr:col>9</xdr:col>
                    <xdr:colOff>196850</xdr:colOff>
                    <xdr:row>10</xdr:row>
                    <xdr:rowOff>127000</xdr:rowOff>
                  </to>
                </anchor>
              </controlPr>
            </control>
          </mc:Choice>
        </mc:AlternateContent>
        <mc:AlternateContent xmlns:mc="http://schemas.openxmlformats.org/markup-compatibility/2006">
          <mc:Choice Requires="x14">
            <control shapeId="10243" r:id="rId5" name="Button 3">
              <controlPr defaultSize="0" print="0" autoFill="0" autoPict="0" macro="[0]!清除爻卦">
                <anchor moveWithCells="1" sizeWithCells="1">
                  <from>
                    <xdr:col>6</xdr:col>
                    <xdr:colOff>57150</xdr:colOff>
                    <xdr:row>8</xdr:row>
                    <xdr:rowOff>82550</xdr:rowOff>
                  </from>
                  <to>
                    <xdr:col>7</xdr:col>
                    <xdr:colOff>260350</xdr:colOff>
                    <xdr:row>9</xdr:row>
                    <xdr:rowOff>107950</xdr:rowOff>
                  </to>
                </anchor>
              </controlPr>
            </control>
          </mc:Choice>
        </mc:AlternateContent>
        <mc:AlternateContent xmlns:mc="http://schemas.openxmlformats.org/markup-compatibility/2006">
          <mc:Choice Requires="x14">
            <control shapeId="10244" r:id="rId6" name="Button 4">
              <controlPr defaultSize="0" print="0" autoFill="0" autoPict="0" macro="[0]!寻物时间">
                <anchor moveWithCells="1" sizeWithCells="1">
                  <from>
                    <xdr:col>7</xdr:col>
                    <xdr:colOff>44450</xdr:colOff>
                    <xdr:row>12</xdr:row>
                    <xdr:rowOff>88900</xdr:rowOff>
                  </from>
                  <to>
                    <xdr:col>8</xdr:col>
                    <xdr:colOff>0</xdr:colOff>
                    <xdr:row>12</xdr:row>
                    <xdr:rowOff>273050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7</vt:i4>
      </vt:variant>
    </vt:vector>
  </HeadingPairs>
  <TitlesOfParts>
    <vt:vector size="7" baseType="lpstr">
      <vt:lpstr>塔罗</vt:lpstr>
      <vt:lpstr>六爻</vt:lpstr>
      <vt:lpstr>占星骰子</vt:lpstr>
      <vt:lpstr>雷诺曼</vt:lpstr>
      <vt:lpstr>卢恩符文</vt:lpstr>
      <vt:lpstr>玄天上帝感应签</vt:lpstr>
      <vt:lpstr>寻人寻物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千落 黎</dc:creator>
  <cp:lastModifiedBy>千落 黎</cp:lastModifiedBy>
  <dcterms:created xsi:type="dcterms:W3CDTF">2024-05-29T06:46:05Z</dcterms:created>
  <dcterms:modified xsi:type="dcterms:W3CDTF">2026-07-03T09:04:53Z</dcterms:modified>
</cp:coreProperties>
</file>